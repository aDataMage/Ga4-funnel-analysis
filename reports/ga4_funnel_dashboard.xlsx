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Ga4\reports\"/>
    </mc:Choice>
  </mc:AlternateContent>
  <xr:revisionPtr revIDLastSave="0" documentId="8_{25545405-0CF6-408E-8A60-29B71AA44875}" xr6:coauthVersionLast="47" xr6:coauthVersionMax="47" xr10:uidLastSave="{00000000-0000-0000-0000-000000000000}"/>
  <bookViews>
    <workbookView xWindow="-120" yWindow="-120" windowWidth="29040" windowHeight="16440" activeTab="2" xr2:uid="{735E5AF0-0E52-40A1-8A70-745FF306F187}"/>
  </bookViews>
  <sheets>
    <sheet name="1 Funnel" sheetId="5" r:id="rId1"/>
    <sheet name="2 Leaks" sheetId="6" r:id="rId2"/>
    <sheet name="3 Time &amp; Products" sheetId="7" r:id="rId3"/>
    <sheet name="d_product" sheetId="4" state="hidden" r:id="rId4"/>
    <sheet name="d_weekly" sheetId="3" state="hidden" r:id="rId5"/>
    <sheet name="d_funnel" sheetId="2" state="hidden" r:id="rId6"/>
    <sheet name="calc" sheetId="1" state="hidden" r:id="rId7"/>
  </sheets>
  <definedNames>
    <definedName name="ExternalData_1" localSheetId="5" hidden="1">d_funnel!$A$1:$V$113</definedName>
    <definedName name="ExternalData_2" localSheetId="4" hidden="1">d_weekly!$A$1:$M$15</definedName>
    <definedName name="ExternalData_3" localSheetId="3" hidden="1">d_product!$A$1:$O$36</definedName>
    <definedName name="_xlnm.Print_Area" localSheetId="0">'1 Funnel'!$A$1:$U$37</definedName>
    <definedName name="_xlnm.Print_Area" localSheetId="1">'2 Leaks'!$A$1:$U$37</definedName>
    <definedName name="_xlnm.Print_Area" localSheetId="2">'3 Time &amp; Products'!$A$1:$U$37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" l="1"/>
  <c r="W98" i="2"/>
  <c r="W18" i="2"/>
  <c r="W50" i="2"/>
  <c r="W34" i="2"/>
  <c r="W82" i="2"/>
  <c r="W66" i="2"/>
  <c r="W83" i="2"/>
  <c r="W51" i="2"/>
  <c r="W99" i="2"/>
  <c r="W35" i="2"/>
  <c r="W67" i="2"/>
  <c r="W19" i="2"/>
  <c r="W3" i="2"/>
  <c r="W68" i="2"/>
  <c r="W20" i="2"/>
  <c r="W4" i="2"/>
  <c r="W36" i="2"/>
  <c r="W52" i="2"/>
  <c r="W100" i="2"/>
  <c r="W84" i="2"/>
  <c r="W85" i="2"/>
  <c r="W53" i="2"/>
  <c r="W37" i="2"/>
  <c r="W101" i="2"/>
  <c r="W69" i="2"/>
  <c r="W21" i="2"/>
  <c r="W5" i="2"/>
  <c r="W102" i="2"/>
  <c r="W86" i="2"/>
  <c r="W70" i="2"/>
  <c r="W6" i="2"/>
  <c r="W38" i="2"/>
  <c r="W54" i="2"/>
  <c r="W22" i="2"/>
  <c r="W71" i="2"/>
  <c r="W39" i="2"/>
  <c r="W55" i="2"/>
  <c r="W7" i="2"/>
  <c r="W103" i="2"/>
  <c r="W23" i="2"/>
  <c r="W87" i="2"/>
  <c r="W72" i="2"/>
  <c r="W56" i="2"/>
  <c r="W104" i="2"/>
  <c r="W8" i="2"/>
  <c r="W24" i="2"/>
  <c r="W88" i="2"/>
  <c r="W40" i="2"/>
  <c r="W25" i="2"/>
  <c r="W73" i="2"/>
  <c r="W89" i="2"/>
  <c r="W105" i="2"/>
  <c r="W41" i="2"/>
  <c r="W57" i="2"/>
  <c r="W9" i="2"/>
  <c r="W10" i="2"/>
  <c r="W58" i="2"/>
  <c r="W26" i="2"/>
  <c r="W90" i="2"/>
  <c r="W42" i="2"/>
  <c r="W74" i="2"/>
  <c r="W106" i="2"/>
  <c r="W107" i="2"/>
  <c r="W43" i="2"/>
  <c r="W75" i="2"/>
  <c r="W27" i="2"/>
  <c r="W11" i="2"/>
  <c r="W59" i="2"/>
  <c r="W91" i="2"/>
  <c r="W44" i="2"/>
  <c r="W108" i="2"/>
  <c r="W12" i="2"/>
  <c r="W92" i="2"/>
  <c r="W76" i="2"/>
  <c r="W60" i="2"/>
  <c r="W28" i="2"/>
  <c r="W93" i="2"/>
  <c r="W45" i="2"/>
  <c r="W13" i="2"/>
  <c r="W109" i="2"/>
  <c r="W61" i="2"/>
  <c r="W29" i="2"/>
  <c r="W77" i="2"/>
  <c r="W14" i="2"/>
  <c r="W30" i="2"/>
  <c r="W94" i="2"/>
  <c r="W46" i="2"/>
  <c r="W78" i="2"/>
  <c r="W110" i="2"/>
  <c r="W62" i="2"/>
  <c r="W15" i="2"/>
  <c r="W95" i="2"/>
  <c r="W31" i="2"/>
  <c r="W63" i="2"/>
  <c r="W111" i="2"/>
  <c r="W79" i="2"/>
  <c r="W47" i="2"/>
  <c r="W80" i="2"/>
  <c r="W112" i="2"/>
  <c r="W64" i="2"/>
  <c r="W16" i="2"/>
  <c r="W96" i="2"/>
  <c r="W48" i="2"/>
  <c r="W32" i="2"/>
  <c r="W33" i="2"/>
  <c r="W81" i="2"/>
  <c r="W97" i="2"/>
  <c r="W113" i="2"/>
  <c r="W65" i="2"/>
  <c r="W17" i="2"/>
  <c r="W49" i="2"/>
  <c r="X2" i="2"/>
  <c r="X98" i="2"/>
  <c r="X18" i="2"/>
  <c r="X50" i="2"/>
  <c r="X34" i="2"/>
  <c r="X82" i="2"/>
  <c r="X66" i="2"/>
  <c r="X83" i="2"/>
  <c r="X51" i="2"/>
  <c r="X99" i="2"/>
  <c r="X35" i="2"/>
  <c r="X67" i="2"/>
  <c r="X19" i="2"/>
  <c r="X3" i="2"/>
  <c r="X68" i="2"/>
  <c r="X20" i="2"/>
  <c r="X4" i="2"/>
  <c r="X36" i="2"/>
  <c r="X52" i="2"/>
  <c r="X100" i="2"/>
  <c r="X84" i="2"/>
  <c r="X85" i="2"/>
  <c r="X53" i="2"/>
  <c r="X37" i="2"/>
  <c r="X101" i="2"/>
  <c r="X69" i="2"/>
  <c r="X21" i="2"/>
  <c r="X5" i="2"/>
  <c r="X102" i="2"/>
  <c r="X86" i="2"/>
  <c r="X70" i="2"/>
  <c r="X6" i="2"/>
  <c r="X38" i="2"/>
  <c r="X54" i="2"/>
  <c r="X22" i="2"/>
  <c r="X71" i="2"/>
  <c r="X39" i="2"/>
  <c r="X55" i="2"/>
  <c r="X7" i="2"/>
  <c r="X103" i="2"/>
  <c r="X23" i="2"/>
  <c r="X87" i="2"/>
  <c r="X72" i="2"/>
  <c r="X56" i="2"/>
  <c r="X104" i="2"/>
  <c r="X8" i="2"/>
  <c r="X24" i="2"/>
  <c r="X88" i="2"/>
  <c r="X40" i="2"/>
  <c r="X25" i="2"/>
  <c r="X73" i="2"/>
  <c r="X89" i="2"/>
  <c r="X105" i="2"/>
  <c r="X41" i="2"/>
  <c r="X57" i="2"/>
  <c r="X9" i="2"/>
  <c r="X10" i="2"/>
  <c r="X58" i="2"/>
  <c r="X26" i="2"/>
  <c r="X90" i="2"/>
  <c r="X42" i="2"/>
  <c r="X74" i="2"/>
  <c r="X106" i="2"/>
  <c r="X107" i="2"/>
  <c r="X43" i="2"/>
  <c r="X75" i="2"/>
  <c r="X27" i="2"/>
  <c r="X11" i="2"/>
  <c r="X59" i="2"/>
  <c r="X91" i="2"/>
  <c r="X44" i="2"/>
  <c r="X108" i="2"/>
  <c r="X12" i="2"/>
  <c r="X92" i="2"/>
  <c r="X76" i="2"/>
  <c r="X60" i="2"/>
  <c r="X28" i="2"/>
  <c r="X93" i="2"/>
  <c r="X45" i="2"/>
  <c r="X13" i="2"/>
  <c r="X109" i="2"/>
  <c r="X61" i="2"/>
  <c r="X29" i="2"/>
  <c r="X77" i="2"/>
  <c r="X14" i="2"/>
  <c r="X30" i="2"/>
  <c r="X94" i="2"/>
  <c r="X46" i="2"/>
  <c r="X78" i="2"/>
  <c r="X110" i="2"/>
  <c r="X62" i="2"/>
  <c r="X15" i="2"/>
  <c r="X95" i="2"/>
  <c r="X31" i="2"/>
  <c r="X63" i="2"/>
  <c r="X111" i="2"/>
  <c r="X79" i="2"/>
  <c r="X47" i="2"/>
  <c r="X80" i="2"/>
  <c r="X112" i="2"/>
  <c r="X64" i="2"/>
  <c r="X16" i="2"/>
  <c r="X96" i="2"/>
  <c r="X48" i="2"/>
  <c r="X32" i="2"/>
  <c r="X33" i="2"/>
  <c r="X81" i="2"/>
  <c r="X97" i="2"/>
  <c r="X113" i="2"/>
  <c r="X65" i="2"/>
  <c r="X17" i="2"/>
  <c r="X49" i="2"/>
  <c r="Y2" i="2"/>
  <c r="Y98" i="2"/>
  <c r="Y18" i="2"/>
  <c r="Y50" i="2"/>
  <c r="Y34" i="2"/>
  <c r="Y82" i="2"/>
  <c r="Y66" i="2"/>
  <c r="Y83" i="2"/>
  <c r="Y51" i="2"/>
  <c r="Y99" i="2"/>
  <c r="Y35" i="2"/>
  <c r="Y67" i="2"/>
  <c r="Y19" i="2"/>
  <c r="Y3" i="2"/>
  <c r="Y68" i="2"/>
  <c r="Y20" i="2"/>
  <c r="Y4" i="2"/>
  <c r="Y36" i="2"/>
  <c r="Y52" i="2"/>
  <c r="Y100" i="2"/>
  <c r="Y84" i="2"/>
  <c r="Y85" i="2"/>
  <c r="Y53" i="2"/>
  <c r="Y37" i="2"/>
  <c r="Y101" i="2"/>
  <c r="Y69" i="2"/>
  <c r="Y21" i="2"/>
  <c r="Y5" i="2"/>
  <c r="Y102" i="2"/>
  <c r="Y86" i="2"/>
  <c r="Y70" i="2"/>
  <c r="Y6" i="2"/>
  <c r="Y38" i="2"/>
  <c r="Y54" i="2"/>
  <c r="Y22" i="2"/>
  <c r="Y71" i="2"/>
  <c r="Y39" i="2"/>
  <c r="Y55" i="2"/>
  <c r="Y7" i="2"/>
  <c r="Y103" i="2"/>
  <c r="Y23" i="2"/>
  <c r="Y87" i="2"/>
  <c r="Y72" i="2"/>
  <c r="Y56" i="2"/>
  <c r="Y104" i="2"/>
  <c r="Y8" i="2"/>
  <c r="Y24" i="2"/>
  <c r="Y88" i="2"/>
  <c r="Y40" i="2"/>
  <c r="Y25" i="2"/>
  <c r="Y73" i="2"/>
  <c r="Y89" i="2"/>
  <c r="Y105" i="2"/>
  <c r="Y41" i="2"/>
  <c r="Y57" i="2"/>
  <c r="Y9" i="2"/>
  <c r="Y10" i="2"/>
  <c r="Y58" i="2"/>
  <c r="Y26" i="2"/>
  <c r="Y90" i="2"/>
  <c r="Y42" i="2"/>
  <c r="Y74" i="2"/>
  <c r="Y106" i="2"/>
  <c r="Y107" i="2"/>
  <c r="Y43" i="2"/>
  <c r="Y75" i="2"/>
  <c r="Y27" i="2"/>
  <c r="Y11" i="2"/>
  <c r="Y59" i="2"/>
  <c r="Y91" i="2"/>
  <c r="Y44" i="2"/>
  <c r="Y108" i="2"/>
  <c r="Y12" i="2"/>
  <c r="Y92" i="2"/>
  <c r="Y76" i="2"/>
  <c r="Y60" i="2"/>
  <c r="Y28" i="2"/>
  <c r="Y93" i="2"/>
  <c r="Y45" i="2"/>
  <c r="Y13" i="2"/>
  <c r="Y109" i="2"/>
  <c r="Y61" i="2"/>
  <c r="Y29" i="2"/>
  <c r="Y77" i="2"/>
  <c r="Y14" i="2"/>
  <c r="Y30" i="2"/>
  <c r="Y94" i="2"/>
  <c r="Y46" i="2"/>
  <c r="Y78" i="2"/>
  <c r="Y110" i="2"/>
  <c r="Y62" i="2"/>
  <c r="Y15" i="2"/>
  <c r="Y95" i="2"/>
  <c r="Y31" i="2"/>
  <c r="Y63" i="2"/>
  <c r="Y111" i="2"/>
  <c r="Y79" i="2"/>
  <c r="Y47" i="2"/>
  <c r="Y80" i="2"/>
  <c r="Y112" i="2"/>
  <c r="Y64" i="2"/>
  <c r="Y16" i="2"/>
  <c r="Y96" i="2"/>
  <c r="Y48" i="2"/>
  <c r="Y32" i="2"/>
  <c r="Y33" i="2"/>
  <c r="Y81" i="2"/>
  <c r="Y97" i="2"/>
  <c r="Y113" i="2"/>
  <c r="Y65" i="2"/>
  <c r="Y17" i="2"/>
  <c r="Y49" i="2"/>
  <c r="Z2" i="2"/>
  <c r="Z98" i="2"/>
  <c r="Z18" i="2"/>
  <c r="Z50" i="2"/>
  <c r="Z34" i="2"/>
  <c r="Z82" i="2"/>
  <c r="Z66" i="2"/>
  <c r="Z83" i="2"/>
  <c r="Z51" i="2"/>
  <c r="Z99" i="2"/>
  <c r="Z35" i="2"/>
  <c r="Z67" i="2"/>
  <c r="Z19" i="2"/>
  <c r="Z3" i="2"/>
  <c r="Z68" i="2"/>
  <c r="Z20" i="2"/>
  <c r="Z4" i="2"/>
  <c r="Z36" i="2"/>
  <c r="Z52" i="2"/>
  <c r="Z100" i="2"/>
  <c r="Z84" i="2"/>
  <c r="Z85" i="2"/>
  <c r="Z53" i="2"/>
  <c r="Z37" i="2"/>
  <c r="Z101" i="2"/>
  <c r="Z69" i="2"/>
  <c r="Z21" i="2"/>
  <c r="Z5" i="2"/>
  <c r="Z102" i="2"/>
  <c r="Z86" i="2"/>
  <c r="Z70" i="2"/>
  <c r="Z6" i="2"/>
  <c r="Z38" i="2"/>
  <c r="Z54" i="2"/>
  <c r="Z22" i="2"/>
  <c r="Z71" i="2"/>
  <c r="Z39" i="2"/>
  <c r="Z55" i="2"/>
  <c r="Z7" i="2"/>
  <c r="Z103" i="2"/>
  <c r="Z23" i="2"/>
  <c r="Z87" i="2"/>
  <c r="Z72" i="2"/>
  <c r="Z56" i="2"/>
  <c r="Z104" i="2"/>
  <c r="Z8" i="2"/>
  <c r="Z24" i="2"/>
  <c r="Z88" i="2"/>
  <c r="Z40" i="2"/>
  <c r="Z25" i="2"/>
  <c r="Z73" i="2"/>
  <c r="Z89" i="2"/>
  <c r="Z105" i="2"/>
  <c r="Z41" i="2"/>
  <c r="Z57" i="2"/>
  <c r="Z9" i="2"/>
  <c r="Z10" i="2"/>
  <c r="Z58" i="2"/>
  <c r="Z26" i="2"/>
  <c r="Z90" i="2"/>
  <c r="Z42" i="2"/>
  <c r="Z74" i="2"/>
  <c r="Z106" i="2"/>
  <c r="Z107" i="2"/>
  <c r="Z43" i="2"/>
  <c r="Z75" i="2"/>
  <c r="Z27" i="2"/>
  <c r="Z11" i="2"/>
  <c r="Z59" i="2"/>
  <c r="Z91" i="2"/>
  <c r="Z44" i="2"/>
  <c r="Z108" i="2"/>
  <c r="Z12" i="2"/>
  <c r="Z92" i="2"/>
  <c r="Z76" i="2"/>
  <c r="Z60" i="2"/>
  <c r="Z28" i="2"/>
  <c r="Z93" i="2"/>
  <c r="Z45" i="2"/>
  <c r="Z13" i="2"/>
  <c r="Z109" i="2"/>
  <c r="Z61" i="2"/>
  <c r="Z29" i="2"/>
  <c r="Z77" i="2"/>
  <c r="Z14" i="2"/>
  <c r="Z30" i="2"/>
  <c r="Z94" i="2"/>
  <c r="Z46" i="2"/>
  <c r="Z78" i="2"/>
  <c r="Z110" i="2"/>
  <c r="Z62" i="2"/>
  <c r="Z15" i="2"/>
  <c r="Z95" i="2"/>
  <c r="Z31" i="2"/>
  <c r="Z63" i="2"/>
  <c r="Z111" i="2"/>
  <c r="Z79" i="2"/>
  <c r="Z47" i="2"/>
  <c r="Z80" i="2"/>
  <c r="Z112" i="2"/>
  <c r="Z64" i="2"/>
  <c r="Z16" i="2"/>
  <c r="Z96" i="2"/>
  <c r="Z48" i="2"/>
  <c r="Z32" i="2"/>
  <c r="Z33" i="2"/>
  <c r="Z81" i="2"/>
  <c r="Z97" i="2"/>
  <c r="Z113" i="2"/>
  <c r="Z65" i="2"/>
  <c r="Z17" i="2"/>
  <c r="Z49" i="2"/>
  <c r="M6" i="1" s="1" a="1"/>
  <c r="M6" i="1" s="1"/>
  <c r="AA2" i="2"/>
  <c r="AA98" i="2"/>
  <c r="AA18" i="2"/>
  <c r="AA50" i="2"/>
  <c r="AA34" i="2"/>
  <c r="AA82" i="2"/>
  <c r="AA66" i="2"/>
  <c r="AA83" i="2"/>
  <c r="AA51" i="2"/>
  <c r="AA99" i="2"/>
  <c r="AA35" i="2"/>
  <c r="AA67" i="2"/>
  <c r="AA19" i="2"/>
  <c r="AA3" i="2"/>
  <c r="AA68" i="2"/>
  <c r="AA20" i="2"/>
  <c r="AA4" i="2"/>
  <c r="AA36" i="2"/>
  <c r="AA52" i="2"/>
  <c r="AA100" i="2"/>
  <c r="AA84" i="2"/>
  <c r="AA85" i="2"/>
  <c r="AA53" i="2"/>
  <c r="AA37" i="2"/>
  <c r="AA101" i="2"/>
  <c r="AA69" i="2"/>
  <c r="AA21" i="2"/>
  <c r="AA5" i="2"/>
  <c r="AA102" i="2"/>
  <c r="AA86" i="2"/>
  <c r="AA70" i="2"/>
  <c r="AA6" i="2"/>
  <c r="AA38" i="2"/>
  <c r="AA54" i="2"/>
  <c r="AA22" i="2"/>
  <c r="AA71" i="2"/>
  <c r="AA39" i="2"/>
  <c r="AA55" i="2"/>
  <c r="AA7" i="2"/>
  <c r="AA103" i="2"/>
  <c r="AA23" i="2"/>
  <c r="AA87" i="2"/>
  <c r="AA72" i="2"/>
  <c r="AA56" i="2"/>
  <c r="AA104" i="2"/>
  <c r="AA8" i="2"/>
  <c r="AA24" i="2"/>
  <c r="AA88" i="2"/>
  <c r="AA40" i="2"/>
  <c r="AA25" i="2"/>
  <c r="AA73" i="2"/>
  <c r="AA89" i="2"/>
  <c r="AA105" i="2"/>
  <c r="AA41" i="2"/>
  <c r="AA57" i="2"/>
  <c r="AA9" i="2"/>
  <c r="AA10" i="2"/>
  <c r="AA58" i="2"/>
  <c r="AA26" i="2"/>
  <c r="AA90" i="2"/>
  <c r="AA42" i="2"/>
  <c r="AA74" i="2"/>
  <c r="AA106" i="2"/>
  <c r="AA107" i="2"/>
  <c r="AA43" i="2"/>
  <c r="AA75" i="2"/>
  <c r="AA27" i="2"/>
  <c r="AA11" i="2"/>
  <c r="AA59" i="2"/>
  <c r="AA91" i="2"/>
  <c r="AA44" i="2"/>
  <c r="AA108" i="2"/>
  <c r="AA12" i="2"/>
  <c r="AA92" i="2"/>
  <c r="AA76" i="2"/>
  <c r="AA60" i="2"/>
  <c r="AA28" i="2"/>
  <c r="AA93" i="2"/>
  <c r="AA45" i="2"/>
  <c r="AA13" i="2"/>
  <c r="AA109" i="2"/>
  <c r="AA61" i="2"/>
  <c r="AA29" i="2"/>
  <c r="AA77" i="2"/>
  <c r="AA14" i="2"/>
  <c r="AA30" i="2"/>
  <c r="AA94" i="2"/>
  <c r="AA46" i="2"/>
  <c r="AA78" i="2"/>
  <c r="AA110" i="2"/>
  <c r="AA62" i="2"/>
  <c r="AA15" i="2"/>
  <c r="AA95" i="2"/>
  <c r="AA31" i="2"/>
  <c r="AA63" i="2"/>
  <c r="AA111" i="2"/>
  <c r="AA79" i="2"/>
  <c r="AA47" i="2"/>
  <c r="AA80" i="2"/>
  <c r="AA112" i="2"/>
  <c r="AA64" i="2"/>
  <c r="AA16" i="2"/>
  <c r="AA96" i="2"/>
  <c r="AA48" i="2"/>
  <c r="AA32" i="2"/>
  <c r="AA33" i="2"/>
  <c r="AA81" i="2"/>
  <c r="AA97" i="2"/>
  <c r="AA113" i="2"/>
  <c r="AA65" i="2"/>
  <c r="AA17" i="2"/>
  <c r="AA49" i="2"/>
  <c r="AB2" i="2"/>
  <c r="AB98" i="2"/>
  <c r="AB18" i="2"/>
  <c r="AB50" i="2"/>
  <c r="AB34" i="2"/>
  <c r="AB82" i="2"/>
  <c r="AB66" i="2"/>
  <c r="AB83" i="2"/>
  <c r="AB51" i="2"/>
  <c r="AB99" i="2"/>
  <c r="AB35" i="2"/>
  <c r="AB67" i="2"/>
  <c r="AB19" i="2"/>
  <c r="AB3" i="2"/>
  <c r="AB68" i="2"/>
  <c r="AB20" i="2"/>
  <c r="AB4" i="2"/>
  <c r="AB36" i="2"/>
  <c r="AB52" i="2"/>
  <c r="AB100" i="2"/>
  <c r="AB84" i="2"/>
  <c r="AB85" i="2"/>
  <c r="AB53" i="2"/>
  <c r="AB37" i="2"/>
  <c r="AB101" i="2"/>
  <c r="AB69" i="2"/>
  <c r="AB21" i="2"/>
  <c r="AB5" i="2"/>
  <c r="AB102" i="2"/>
  <c r="AB86" i="2"/>
  <c r="AB70" i="2"/>
  <c r="AB6" i="2"/>
  <c r="AB38" i="2"/>
  <c r="AB54" i="2"/>
  <c r="AB22" i="2"/>
  <c r="AB71" i="2"/>
  <c r="AB39" i="2"/>
  <c r="AB55" i="2"/>
  <c r="AB7" i="2"/>
  <c r="AB103" i="2"/>
  <c r="AB23" i="2"/>
  <c r="AB87" i="2"/>
  <c r="AB72" i="2"/>
  <c r="AB56" i="2"/>
  <c r="AB104" i="2"/>
  <c r="AB8" i="2"/>
  <c r="AB24" i="2"/>
  <c r="AB88" i="2"/>
  <c r="AB40" i="2"/>
  <c r="AB25" i="2"/>
  <c r="AB73" i="2"/>
  <c r="AB89" i="2"/>
  <c r="AB105" i="2"/>
  <c r="AB41" i="2"/>
  <c r="AB57" i="2"/>
  <c r="AB9" i="2"/>
  <c r="AB10" i="2"/>
  <c r="AB58" i="2"/>
  <c r="AB26" i="2"/>
  <c r="AB90" i="2"/>
  <c r="AB42" i="2"/>
  <c r="AB74" i="2"/>
  <c r="AB106" i="2"/>
  <c r="AB107" i="2"/>
  <c r="AB43" i="2"/>
  <c r="AB75" i="2"/>
  <c r="AB27" i="2"/>
  <c r="AB11" i="2"/>
  <c r="AB59" i="2"/>
  <c r="AB91" i="2"/>
  <c r="AB44" i="2"/>
  <c r="AB108" i="2"/>
  <c r="AB12" i="2"/>
  <c r="AB92" i="2"/>
  <c r="AB76" i="2"/>
  <c r="AB60" i="2"/>
  <c r="AB28" i="2"/>
  <c r="AB93" i="2"/>
  <c r="AB45" i="2"/>
  <c r="AB13" i="2"/>
  <c r="AB109" i="2"/>
  <c r="AB61" i="2"/>
  <c r="AB29" i="2"/>
  <c r="AB77" i="2"/>
  <c r="AB14" i="2"/>
  <c r="AB30" i="2"/>
  <c r="AB94" i="2"/>
  <c r="AB46" i="2"/>
  <c r="AB78" i="2"/>
  <c r="AB110" i="2"/>
  <c r="AB62" i="2"/>
  <c r="AB15" i="2"/>
  <c r="AB95" i="2"/>
  <c r="AB31" i="2"/>
  <c r="AB63" i="2"/>
  <c r="AB111" i="2"/>
  <c r="AB79" i="2"/>
  <c r="AB47" i="2"/>
  <c r="AB80" i="2"/>
  <c r="AB112" i="2"/>
  <c r="AB64" i="2"/>
  <c r="AB16" i="2"/>
  <c r="AB96" i="2"/>
  <c r="AB48" i="2"/>
  <c r="AB32" i="2"/>
  <c r="AB33" i="2"/>
  <c r="AB81" i="2"/>
  <c r="AB97" i="2"/>
  <c r="AB113" i="2"/>
  <c r="AB65" i="2"/>
  <c r="AB17" i="2"/>
  <c r="AB49" i="2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AV3" i="1"/>
  <c r="AV4" i="1"/>
  <c r="AV5" i="1"/>
  <c r="AV6" i="1"/>
  <c r="AV7" i="1"/>
  <c r="AV8" i="1"/>
  <c r="AV9" i="1"/>
  <c r="AV10" i="1"/>
  <c r="AV11" i="1"/>
  <c r="AV12" i="1"/>
  <c r="AV13" i="1"/>
  <c r="AW2" i="1"/>
  <c r="AO2" i="1" a="1"/>
  <c r="AO2" i="1" s="1"/>
  <c r="AU2" i="1" s="1"/>
  <c r="AI2" i="1" a="1"/>
  <c r="AI2" i="1" s="1"/>
  <c r="R2" i="1" a="1"/>
  <c r="R2" i="1" s="1"/>
  <c r="AD2" i="1" s="1" a="1"/>
  <c r="AD2" i="1" s="1"/>
  <c r="K11" i="6" s="1"/>
  <c r="D2" i="1" a="1"/>
  <c r="D2" i="1" s="1"/>
  <c r="N2" i="1" s="1"/>
  <c r="E2" i="1" a="1"/>
  <c r="E2" i="1" s="1"/>
  <c r="F2" i="1" a="1"/>
  <c r="F2" i="1" s="1"/>
  <c r="G2" i="1" a="1"/>
  <c r="G2" i="1" s="1"/>
  <c r="H2" i="1" a="1"/>
  <c r="H2" i="1" s="1"/>
  <c r="I2" i="1" a="1"/>
  <c r="I2" i="1" s="1"/>
  <c r="J2" i="1" a="1"/>
  <c r="J2" i="1" s="1"/>
  <c r="K2" i="1" a="1"/>
  <c r="K2" i="1" s="1"/>
  <c r="L2" i="1" a="1"/>
  <c r="L2" i="1" s="1"/>
  <c r="M2" i="1" a="1"/>
  <c r="M2" i="1" s="1"/>
  <c r="E3" i="1" a="1"/>
  <c r="E3" i="1" s="1"/>
  <c r="F3" i="1" a="1"/>
  <c r="F3" i="1" s="1"/>
  <c r="G3" i="1" a="1"/>
  <c r="G3" i="1" s="1"/>
  <c r="H3" i="1" a="1"/>
  <c r="H3" i="1" s="1"/>
  <c r="O13" i="5" s="1"/>
  <c r="I3" i="1" a="1"/>
  <c r="I3" i="1" s="1"/>
  <c r="J3" i="1" a="1"/>
  <c r="J3" i="1" s="1"/>
  <c r="K3" i="1" a="1"/>
  <c r="K3" i="1" s="1"/>
  <c r="S13" i="5" s="1"/>
  <c r="L3" i="1" a="1"/>
  <c r="L3" i="1" s="1"/>
  <c r="M3" i="1" a="1"/>
  <c r="M3" i="1" s="1"/>
  <c r="E4" i="1" a="1"/>
  <c r="E4" i="1" s="1"/>
  <c r="F4" i="1" a="1"/>
  <c r="F4" i="1" s="1"/>
  <c r="G4" i="1" a="1"/>
  <c r="G4" i="1" s="1"/>
  <c r="H4" i="1" a="1"/>
  <c r="H4" i="1" s="1"/>
  <c r="O14" i="5" s="1"/>
  <c r="I4" i="1" a="1"/>
  <c r="I4" i="1" s="1"/>
  <c r="J4" i="1" a="1"/>
  <c r="J4" i="1" s="1"/>
  <c r="K4" i="1" a="1"/>
  <c r="K4" i="1" s="1"/>
  <c r="S14" i="5" s="1"/>
  <c r="L4" i="1" a="1"/>
  <c r="L4" i="1" s="1"/>
  <c r="M4" i="1" a="1"/>
  <c r="M4" i="1" s="1"/>
  <c r="E5" i="1" a="1"/>
  <c r="E5" i="1" s="1"/>
  <c r="F5" i="1" a="1"/>
  <c r="F5" i="1" s="1"/>
  <c r="G5" i="1" a="1"/>
  <c r="G5" i="1" s="1"/>
  <c r="H5" i="1" a="1"/>
  <c r="H5" i="1" s="1"/>
  <c r="O15" i="5" s="1"/>
  <c r="I5" i="1" a="1"/>
  <c r="I5" i="1" s="1"/>
  <c r="Q15" i="5" s="1"/>
  <c r="J5" i="1" a="1"/>
  <c r="J5" i="1" s="1"/>
  <c r="K5" i="1" a="1"/>
  <c r="K5" i="1" s="1"/>
  <c r="S15" i="5" s="1"/>
  <c r="L5" i="1" a="1"/>
  <c r="L5" i="1" s="1"/>
  <c r="M5" i="1" a="1"/>
  <c r="M5" i="1" s="1"/>
  <c r="E6" i="1" a="1"/>
  <c r="E6" i="1" s="1"/>
  <c r="F6" i="1" a="1"/>
  <c r="F6" i="1" s="1"/>
  <c r="G6" i="1" a="1"/>
  <c r="G6" i="1" s="1"/>
  <c r="H6" i="1" a="1"/>
  <c r="H6" i="1" s="1"/>
  <c r="O16" i="5" s="1"/>
  <c r="I6" i="1" a="1"/>
  <c r="I6" i="1" s="1"/>
  <c r="Q16" i="5" s="1"/>
  <c r="J6" i="1" a="1"/>
  <c r="J6" i="1" s="1"/>
  <c r="K6" i="1" a="1"/>
  <c r="K6" i="1" s="1"/>
  <c r="S16" i="5" s="1"/>
  <c r="L6" i="1" a="1"/>
  <c r="L6" i="1" s="1"/>
  <c r="E7" i="1" a="1"/>
  <c r="E7" i="1" s="1"/>
  <c r="F7" i="1" a="1"/>
  <c r="F7" i="1" s="1"/>
  <c r="G7" i="1" a="1"/>
  <c r="G7" i="1" s="1"/>
  <c r="H7" i="1" a="1"/>
  <c r="H7" i="1" s="1"/>
  <c r="O17" i="5" s="1"/>
  <c r="I7" i="1" a="1"/>
  <c r="I7" i="1" s="1"/>
  <c r="J7" i="1" a="1"/>
  <c r="J7" i="1" s="1"/>
  <c r="K7" i="1" a="1"/>
  <c r="K7" i="1" s="1"/>
  <c r="S17" i="5" s="1"/>
  <c r="L7" i="1" a="1"/>
  <c r="L7" i="1" s="1"/>
  <c r="M7" i="1" a="1"/>
  <c r="M7" i="1" s="1"/>
  <c r="E8" i="1" a="1"/>
  <c r="E8" i="1" s="1"/>
  <c r="B13" i="1" s="1"/>
  <c r="G6" i="5" s="1"/>
  <c r="F8" i="1" a="1"/>
  <c r="F8" i="1" s="1"/>
  <c r="G8" i="1" a="1"/>
  <c r="G8" i="1" s="1"/>
  <c r="H8" i="1" a="1"/>
  <c r="H8" i="1" s="1"/>
  <c r="O18" i="5" s="1"/>
  <c r="I8" i="1" a="1"/>
  <c r="I8" i="1" s="1"/>
  <c r="J8" i="1" a="1"/>
  <c r="J8" i="1" s="1"/>
  <c r="K8" i="1" a="1"/>
  <c r="K8" i="1" s="1"/>
  <c r="S18" i="5" s="1"/>
  <c r="L8" i="1" a="1"/>
  <c r="L8" i="1" s="1"/>
  <c r="M8" i="1" a="1"/>
  <c r="M8" i="1" s="1"/>
  <c r="D3" i="1" a="1"/>
  <c r="D3" i="1" s="1"/>
  <c r="N3" i="1" s="1"/>
  <c r="D4" i="1" a="1"/>
  <c r="D4" i="1" s="1"/>
  <c r="N4" i="1" s="1"/>
  <c r="D5" i="1" a="1"/>
  <c r="D5" i="1" s="1"/>
  <c r="D6" i="1" a="1"/>
  <c r="D6" i="1" s="1"/>
  <c r="N6" i="1" s="1"/>
  <c r="D7" i="1" a="1"/>
  <c r="D7" i="1" s="1"/>
  <c r="N7" i="1" s="1"/>
  <c r="D8" i="1" a="1"/>
  <c r="D8" i="1" s="1"/>
  <c r="B3" i="1" a="1"/>
  <c r="B3" i="1" s="1"/>
  <c r="C3" i="1" s="1" a="1"/>
  <c r="C3" i="1" s="1"/>
  <c r="B4" i="1" a="1"/>
  <c r="B4" i="1" s="1"/>
  <c r="C4" i="1" s="1" a="1"/>
  <c r="C4" i="1" s="1"/>
  <c r="B5" i="1" a="1"/>
  <c r="B5" i="1" s="1"/>
  <c r="C5" i="1" s="1" a="1"/>
  <c r="C5" i="1" s="1"/>
  <c r="B6" i="1" a="1"/>
  <c r="B6" i="1" s="1"/>
  <c r="C6" i="1" s="1" a="1"/>
  <c r="C6" i="1" s="1"/>
  <c r="B7" i="1" a="1"/>
  <c r="B7" i="1" s="1"/>
  <c r="C7" i="1" s="1" a="1"/>
  <c r="C7" i="1" s="1"/>
  <c r="B8" i="1" a="1"/>
  <c r="B8" i="1" s="1"/>
  <c r="C8" i="1" s="1" a="1"/>
  <c r="C8" i="1" s="1"/>
  <c r="B2" i="1" a="1"/>
  <c r="B2" i="1" s="1"/>
  <c r="C2" i="1" s="1" a="1"/>
  <c r="C2" i="1" s="1"/>
  <c r="A2" i="1" a="1"/>
  <c r="A2" i="1" s="1"/>
  <c r="Q13" i="5" l="1"/>
  <c r="N8" i="1"/>
  <c r="K18" i="5"/>
  <c r="N5" i="1"/>
  <c r="Q17" i="5"/>
  <c r="Q18" i="5"/>
  <c r="B14" i="1"/>
  <c r="G8" i="5" s="1"/>
  <c r="K15" i="5"/>
  <c r="B7" i="6"/>
  <c r="Q14" i="5"/>
  <c r="K17" i="5"/>
  <c r="K16" i="5"/>
  <c r="K14" i="5"/>
  <c r="K13" i="5"/>
  <c r="N19" i="6"/>
  <c r="O25" i="6"/>
  <c r="O17" i="6"/>
  <c r="P23" i="6"/>
  <c r="P15" i="6"/>
  <c r="R21" i="6"/>
  <c r="R13" i="6"/>
  <c r="S19" i="6"/>
  <c r="N18" i="6"/>
  <c r="O24" i="6"/>
  <c r="O16" i="6"/>
  <c r="P22" i="6"/>
  <c r="P14" i="6"/>
  <c r="R20" i="6"/>
  <c r="R12" i="6"/>
  <c r="S18" i="6"/>
  <c r="N25" i="6"/>
  <c r="N17" i="6"/>
  <c r="O23" i="6"/>
  <c r="O15" i="6"/>
  <c r="P21" i="6"/>
  <c r="P13" i="6"/>
  <c r="R19" i="6"/>
  <c r="S25" i="6"/>
  <c r="S17" i="6"/>
  <c r="B11" i="1"/>
  <c r="B6" i="5" s="1"/>
  <c r="N24" i="6"/>
  <c r="N16" i="6"/>
  <c r="O22" i="6"/>
  <c r="O14" i="6"/>
  <c r="P20" i="6"/>
  <c r="P12" i="6"/>
  <c r="R18" i="6"/>
  <c r="S24" i="6"/>
  <c r="S16" i="6"/>
  <c r="B12" i="1"/>
  <c r="L6" i="5" s="1"/>
  <c r="R11" i="6"/>
  <c r="N23" i="6"/>
  <c r="N15" i="6"/>
  <c r="O21" i="6"/>
  <c r="O13" i="6"/>
  <c r="P19" i="6"/>
  <c r="R25" i="6"/>
  <c r="R17" i="6"/>
  <c r="S23" i="6"/>
  <c r="S15" i="6"/>
  <c r="S11" i="6"/>
  <c r="N22" i="6"/>
  <c r="N14" i="6"/>
  <c r="O20" i="6"/>
  <c r="O12" i="6"/>
  <c r="P18" i="6"/>
  <c r="R24" i="6"/>
  <c r="R16" i="6"/>
  <c r="S22" i="6"/>
  <c r="S14" i="6"/>
  <c r="N21" i="6"/>
  <c r="N13" i="6"/>
  <c r="O19" i="6"/>
  <c r="P25" i="6"/>
  <c r="P17" i="6"/>
  <c r="R23" i="6"/>
  <c r="R15" i="6"/>
  <c r="S21" i="6"/>
  <c r="S13" i="6"/>
  <c r="N20" i="6"/>
  <c r="N12" i="6"/>
  <c r="O18" i="6"/>
  <c r="P24" i="6"/>
  <c r="P16" i="6"/>
  <c r="R22" i="6"/>
  <c r="R14" i="6"/>
  <c r="S20" i="6"/>
  <c r="S12" i="6"/>
  <c r="AU13" i="1"/>
  <c r="AW7" i="1"/>
  <c r="AW12" i="1"/>
  <c r="AU10" i="1"/>
  <c r="AW9" i="1"/>
  <c r="AU7" i="1"/>
  <c r="AU12" i="1"/>
  <c r="AW6" i="1"/>
  <c r="AU4" i="1"/>
  <c r="AW3" i="1"/>
  <c r="AW10" i="1"/>
  <c r="AW11" i="1"/>
  <c r="AU9" i="1"/>
  <c r="AW8" i="1"/>
  <c r="AU6" i="1"/>
  <c r="AU8" i="1"/>
  <c r="AW13" i="1"/>
  <c r="AU11" i="1"/>
  <c r="AW5" i="1"/>
  <c r="AU3" i="1"/>
  <c r="AV2" i="1"/>
  <c r="AU5" i="1"/>
  <c r="AW4" i="1"/>
  <c r="O11" i="6"/>
  <c r="P11" i="6"/>
  <c r="N11" i="6"/>
  <c r="AF4" i="1"/>
  <c r="AF2" i="1"/>
  <c r="AD8" i="1" a="1"/>
  <c r="AD8" i="1" s="1"/>
  <c r="K17" i="6" s="1"/>
  <c r="AE15" i="1"/>
  <c r="L24" i="6" s="1"/>
  <c r="AE7" i="1"/>
  <c r="L16" i="6" s="1"/>
  <c r="AG14" i="1"/>
  <c r="AB2" i="1" a="1"/>
  <c r="AB2" i="1" s="1"/>
  <c r="AD13" i="1" a="1"/>
  <c r="AD13" i="1" s="1"/>
  <c r="K22" i="6" s="1"/>
  <c r="AE13" i="1"/>
  <c r="L22" i="6" s="1"/>
  <c r="AE5" i="1"/>
  <c r="L14" i="6" s="1"/>
  <c r="AF12" i="1"/>
  <c r="AG12" i="1"/>
  <c r="AC2" i="1" a="1"/>
  <c r="AC2" i="1" s="1"/>
  <c r="AD6" i="1" a="1"/>
  <c r="AD6" i="1" s="1"/>
  <c r="K15" i="6" s="1"/>
  <c r="AE12" i="1"/>
  <c r="L21" i="6" s="1"/>
  <c r="AE4" i="1"/>
  <c r="L13" i="6" s="1"/>
  <c r="AF11" i="1"/>
  <c r="AF3" i="1"/>
  <c r="AG11" i="1"/>
  <c r="AG3" i="1"/>
  <c r="AD12" i="1" a="1"/>
  <c r="AD12" i="1" s="1"/>
  <c r="K21" i="6" s="1"/>
  <c r="AD5" i="1" a="1"/>
  <c r="AD5" i="1" s="1"/>
  <c r="K14" i="6" s="1"/>
  <c r="AE11" i="1"/>
  <c r="L20" i="6" s="1"/>
  <c r="AE3" i="1"/>
  <c r="L12" i="6" s="1"/>
  <c r="AF10" i="1"/>
  <c r="AG10" i="1"/>
  <c r="AD4" i="1" a="1"/>
  <c r="AD4" i="1" s="1"/>
  <c r="K13" i="6" s="1"/>
  <c r="AE10" i="1"/>
  <c r="L19" i="6" s="1"/>
  <c r="AE2" i="1"/>
  <c r="L11" i="6" s="1"/>
  <c r="AF9" i="1"/>
  <c r="AG2" i="1"/>
  <c r="AD16" i="1" a="1"/>
  <c r="AD16" i="1" s="1"/>
  <c r="K25" i="6" s="1"/>
  <c r="AD10" i="1" a="1"/>
  <c r="AD10" i="1" s="1"/>
  <c r="K19" i="6" s="1"/>
  <c r="AD3" i="1" a="1"/>
  <c r="AD3" i="1" s="1"/>
  <c r="K12" i="6" s="1"/>
  <c r="AE9" i="1"/>
  <c r="L18" i="6" s="1"/>
  <c r="AF16" i="1"/>
  <c r="AF8" i="1"/>
  <c r="AG16" i="1"/>
  <c r="AG8" i="1"/>
  <c r="AF14" i="1"/>
  <c r="AD11" i="1" a="1"/>
  <c r="AD11" i="1" s="1"/>
  <c r="K20" i="6" s="1"/>
  <c r="AG9" i="1"/>
  <c r="AD15" i="1" a="1"/>
  <c r="AD15" i="1" s="1"/>
  <c r="K24" i="6" s="1"/>
  <c r="AD9" i="1" a="1"/>
  <c r="AD9" i="1" s="1"/>
  <c r="K18" i="6" s="1"/>
  <c r="AE16" i="1"/>
  <c r="L25" i="6" s="1"/>
  <c r="AE8" i="1"/>
  <c r="L17" i="6" s="1"/>
  <c r="AF15" i="1"/>
  <c r="AF7" i="1"/>
  <c r="AG15" i="1"/>
  <c r="AG7" i="1"/>
  <c r="AG6" i="1"/>
  <c r="AD14" i="1" a="1"/>
  <c r="AD14" i="1" s="1"/>
  <c r="K23" i="6" s="1"/>
  <c r="AD7" i="1" a="1"/>
  <c r="AD7" i="1" s="1"/>
  <c r="K16" i="6" s="1"/>
  <c r="AE14" i="1"/>
  <c r="L23" i="6" s="1"/>
  <c r="AE6" i="1"/>
  <c r="L15" i="6" s="1"/>
  <c r="AF13" i="1"/>
  <c r="AF5" i="1"/>
  <c r="AG13" i="1"/>
  <c r="AG5" i="1"/>
  <c r="AG4" i="1"/>
  <c r="AF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796487-F8B4-49A7-A68F-491AFE36019E}" keepAlive="1" name="Query - rpt_funnel" description="Connection to the 'rpt_funnel' query in the workbook." type="5" refreshedVersion="8" background="1" saveData="1">
    <dbPr connection="Provider=Microsoft.Mashup.OleDb.1;Data Source=$Workbook$;Location=rpt_funnel;Extended Properties=&quot;&quot;" command="SELECT * FROM [rpt_funnel]"/>
  </connection>
  <connection id="2" xr16:uid="{6E8FDD7E-9B48-49D1-963E-EF8BBEB2DD95}" keepAlive="1" name="Query - rpt_funnel_weekly" description="Connection to the 'rpt_funnel_weekly' query in the workbook." type="5" refreshedVersion="8" background="1" saveData="1">
    <dbPr connection="Provider=Microsoft.Mashup.OleDb.1;Data Source=$Workbook$;Location=rpt_funnel_weekly;Extended Properties=&quot;&quot;" command="SELECT * FROM [rpt_funnel_weekly]"/>
  </connection>
  <connection id="3" xr16:uid="{4522D9A3-2F38-4ED1-871F-8E6B4FEF28F3}" keepAlive="1" name="Query - rpt_product_funnel" description="Connection to the 'rpt_product_funnel' query in the workbook." type="5" refreshedVersion="8" background="1" saveData="1">
    <dbPr connection="Provider=Microsoft.Mashup.OleDb.1;Data Source=$Workbook$;Location=rpt_product_funnel;Extended Properties=&quot;&quot;" command="SELECT * FROM [rpt_product_funne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<sst xmlns="http://schemas.openxmlformats.org/spreadsheetml/2006/main" count="531" uniqueCount="173">
  <si>
    <t>segment_type</t>
  </si>
  <si>
    <t>segment_type_sort</t>
  </si>
  <si>
    <t>segment_value</t>
  </si>
  <si>
    <t>segment_sort</t>
  </si>
  <si>
    <t>step</t>
  </si>
  <si>
    <t>step_sort</t>
  </si>
  <si>
    <t>segment_sessions</t>
  </si>
  <si>
    <t>sessions_reached</t>
  </si>
  <si>
    <t>prev_step_sessions</t>
  </si>
  <si>
    <t>reached_from_prev</t>
  </si>
  <si>
    <t>reach_rate</t>
  </si>
  <si>
    <t>reach_rate_lower</t>
  </si>
  <si>
    <t>reach_rate_upper</t>
  </si>
  <si>
    <t>step_conversion</t>
  </si>
  <si>
    <t>step_conversion_lower</t>
  </si>
  <si>
    <t>step_conversion_upper</t>
  </si>
  <si>
    <t>skipped_prev_share</t>
  </si>
  <si>
    <t>gap_vs_rest</t>
  </si>
  <si>
    <t>gap_vs_rest_lower</t>
  </si>
  <si>
    <t>gap_vs_rest_upper</t>
  </si>
  <si>
    <t>is_thin_segment</t>
  </si>
  <si>
    <t>is_thin_step</t>
  </si>
  <si>
    <t>channel</t>
  </si>
  <si>
    <t>cpc</t>
  </si>
  <si>
    <t>purchase</t>
  </si>
  <si>
    <t>sessions</t>
  </si>
  <si>
    <t>add_payment_info</t>
  </si>
  <si>
    <t>begin_checkout</t>
  </si>
  <si>
    <t>add_shipping_info</t>
  </si>
  <si>
    <t>view_item</t>
  </si>
  <si>
    <t>add_to_cart</t>
  </si>
  <si>
    <t>unknown</t>
  </si>
  <si>
    <t>other</t>
  </si>
  <si>
    <t>referral</t>
  </si>
  <si>
    <t>direct</t>
  </si>
  <si>
    <t>organic</t>
  </si>
  <si>
    <t>continent</t>
  </si>
  <si>
    <t>africa</t>
  </si>
  <si>
    <t>oceania</t>
  </si>
  <si>
    <t>europe</t>
  </si>
  <si>
    <t>asia</t>
  </si>
  <si>
    <t>americas</t>
  </si>
  <si>
    <t>device_category</t>
  </si>
  <si>
    <t>tablet</t>
  </si>
  <si>
    <t>mobile</t>
  </si>
  <si>
    <t>desktop</t>
  </si>
  <si>
    <t>overall</t>
  </si>
  <si>
    <t>all sessions</t>
  </si>
  <si>
    <t>week_start</t>
  </si>
  <si>
    <t>week_label</t>
  </si>
  <si>
    <t>week_sort</t>
  </si>
  <si>
    <t>days_in_week</t>
  </si>
  <si>
    <t>is_partial_week</t>
  </si>
  <si>
    <t>sessions_with_view_item</t>
  </si>
  <si>
    <t>sessions_with_add_to_cart</t>
  </si>
  <si>
    <t>sessions_with_begin_checkout</t>
  </si>
  <si>
    <t>sessions_with_purchase</t>
  </si>
  <si>
    <t>session_conversion_rate</t>
  </si>
  <si>
    <t>session_conversion_rate_lower</t>
  </si>
  <si>
    <t>session_conversion_rate_upper</t>
  </si>
  <si>
    <t>04 Jan</t>
  </si>
  <si>
    <t>02 Nov</t>
  </si>
  <si>
    <t>14 Dec</t>
  </si>
  <si>
    <t>26 Oct</t>
  </si>
  <si>
    <t>16 Nov</t>
  </si>
  <si>
    <t>11 Jan</t>
  </si>
  <si>
    <t>30 Nov</t>
  </si>
  <si>
    <t>25 Jan</t>
  </si>
  <si>
    <t>09 Nov</t>
  </si>
  <si>
    <t>07 Dec</t>
  </si>
  <si>
    <t>18 Jan</t>
  </si>
  <si>
    <t>23 Nov</t>
  </si>
  <si>
    <t>21 Dec</t>
  </si>
  <si>
    <t>28 Dec</t>
  </si>
  <si>
    <t>item_category</t>
  </si>
  <si>
    <t>category_sort</t>
  </si>
  <si>
    <t>sessions_viewed</t>
  </si>
  <si>
    <t>sessions_viewed_and_carted</t>
  </si>
  <si>
    <t>sessions_viewed_and_purchased</t>
  </si>
  <si>
    <t>sessions_purchased</t>
  </si>
  <si>
    <t>units_purchased</t>
  </si>
  <si>
    <t>item_revenue_in_usd</t>
  </si>
  <si>
    <t>view_to_cart_rate</t>
  </si>
  <si>
    <t>view_to_cart_rate_lower</t>
  </si>
  <si>
    <t>view_to_cart_rate_upper</t>
  </si>
  <si>
    <t>view_to_purchase_rate</t>
  </si>
  <si>
    <t>view_to_purchase_rate_lower</t>
  </si>
  <si>
    <t>view_to_purchase_rate_upper</t>
  </si>
  <si>
    <t>is_thin_cell</t>
  </si>
  <si>
    <t>home/black lives matter/</t>
  </si>
  <si>
    <t>home/stationery/notebooks/</t>
  </si>
  <si>
    <t>home/shop by brand/youtube/</t>
  </si>
  <si>
    <t>campus collection</t>
  </si>
  <si>
    <t>home/new/</t>
  </si>
  <si>
    <t>home/apparel/kids/</t>
  </si>
  <si>
    <t>accessories/</t>
  </si>
  <si>
    <t>home/apparel/</t>
  </si>
  <si>
    <t>home/apparel/hats/</t>
  </si>
  <si>
    <t>lifestyle/small goods/</t>
  </si>
  <si>
    <t>bags</t>
  </si>
  <si>
    <t>home/stationery/stickers/</t>
  </si>
  <si>
    <t>home/shop by brand/android/</t>
  </si>
  <si>
    <t>home/gift cards/</t>
  </si>
  <si>
    <t>home/apparel/men's / unisex/</t>
  </si>
  <si>
    <t>men's t-shirts/</t>
  </si>
  <si>
    <t>lifestyle/drinkware/</t>
  </si>
  <si>
    <t>eco-friendly</t>
  </si>
  <si>
    <t>home/stationery/writing/</t>
  </si>
  <si>
    <t>home/campus collection/</t>
  </si>
  <si>
    <t>men's / unisex</t>
  </si>
  <si>
    <t>lifestyle/</t>
  </si>
  <si>
    <t>home/stationery/</t>
  </si>
  <si>
    <t>water bottles/</t>
  </si>
  <si>
    <t>home/shop by brand/google/</t>
  </si>
  <si>
    <t>backpacks/</t>
  </si>
  <si>
    <t>home/sale/</t>
  </si>
  <si>
    <t>home/eco-friendly/</t>
  </si>
  <si>
    <t>lifestyle/bags/</t>
  </si>
  <si>
    <t>home/apparel/women's/</t>
  </si>
  <si>
    <t>sale</t>
  </si>
  <si>
    <t>home/apparel/socks/</t>
  </si>
  <si>
    <t>mugs &amp; tumblers/</t>
  </si>
  <si>
    <t>small goods</t>
  </si>
  <si>
    <t>reach_err_minus</t>
  </si>
  <si>
    <t>reach_err_plus</t>
  </si>
  <si>
    <t>conv_err_minus</t>
  </si>
  <si>
    <t>conv_err_plus</t>
  </si>
  <si>
    <t>gap_err_minus</t>
  </si>
  <si>
    <t>gap_err_plus</t>
  </si>
  <si>
    <t>cr_err_minus</t>
  </si>
  <si>
    <t>cr_err_plus</t>
  </si>
  <si>
    <t>v2p_err_minus</t>
  </si>
  <si>
    <t>v2p_err_plus</t>
  </si>
  <si>
    <t>label</t>
  </si>
  <si>
    <t>kpi_sessions</t>
  </si>
  <si>
    <t>kpi_purchasing_sessions</t>
  </si>
  <si>
    <t>kpi_conversion</t>
  </si>
  <si>
    <t>kpi_conversion_ci</t>
  </si>
  <si>
    <t>1.4% of sessions end in a purchase, and most are lost before anyone views a product.</t>
  </si>
  <si>
    <t>355,592 sessions · 1 Nov 2020 – 31 Jan 2021 · Google Merchandise Store, obfuscated GA4 sample</t>
  </si>
  <si>
    <t>Sessions</t>
  </si>
  <si>
    <t>Session conversion rate</t>
  </si>
  <si>
    <t>Purchasing sessions</t>
  </si>
  <si>
    <t>30-minute sessions</t>
  </si>
  <si>
    <t>sessions with a purchase event</t>
  </si>
  <si>
    <t>bar_label</t>
  </si>
  <si>
    <t>Each step's conversion from the one before</t>
  </si>
  <si>
    <t>conversion</t>
  </si>
  <si>
    <t>95% CI</t>
  </si>
  <si>
    <t>Skipped previous step</t>
  </si>
  <si>
    <t>Step</t>
  </si>
  <si>
    <t>Conversion</t>
  </si>
  <si>
    <t>Base: 355,592 30-minute sessions, not GA4's own sessions. A session reaches a step if it contains the event. Intervals: 95% Wilson. Source: dbt model rpt_funnel.</t>
  </si>
  <si>
    <t>steps</t>
  </si>
  <si>
    <t>Funnel step</t>
  </si>
  <si>
    <t>group</t>
  </si>
  <si>
    <t>segment</t>
  </si>
  <si>
    <t>differs</t>
  </si>
  <si>
    <t>within_noise</t>
  </si>
  <si>
    <t>Referral sessions convert above the rest; organic, cpc and 'other' convert below.</t>
  </si>
  <si>
    <t>Rates and gaps at the selected step</t>
  </si>
  <si>
    <t>Group</t>
  </si>
  <si>
    <t>Segment</t>
  </si>
  <si>
    <t>Rate</t>
  </si>
  <si>
    <t>Gap vs rest</t>
  </si>
  <si>
    <t>Base: 355,592 30-minute sessions. Gap = segment's rate minus all other sessions' rate (percentage points), 95% Newcombe interval. Channel = the session's first-event medium. Association, not cause. Source: dbt model rpt_funnel.</t>
  </si>
  <si>
    <t>Conversion peaked at 2.0% in early December and fell to 0.6% in the first week of January.</t>
  </si>
  <si>
    <t>category</t>
  </si>
  <si>
    <t>view_to_purchase</t>
  </si>
  <si>
    <t>is_thin</t>
  </si>
  <si>
    <t>highlight</t>
  </si>
  <si>
    <t>others</t>
  </si>
  <si>
    <t>Base: 30-minute sessions by ISO week (Mon start); the one-day week of 26 Oct is left out. Intervals: 95% Wilson. Source: dbt models rpt_funnel_weekly, rpt_product_funnel.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</si>
</sst>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0.0%"/>
    <numFmt numFmtId="173" formatCode="\+0.00&quot; pp&quot;;\-0.00&quot; pp&quot;;0.00&quot; pp&quot;"/>
  </numFmts>
  <fonts count="14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9"/>
      <color rgb="FFD7BA7D"/>
      <name val="Courier New"/>
      <family val="3"/>
    </font>
    <font>
      <sz val="10"/>
      <color theme="1"/>
      <name val="Segoe UI"/>
      <family val="2"/>
      <scheme val="minor"/>
    </font>
    <font>
      <sz val="10"/>
      <color theme="3"/>
      <name val="Segoe UI"/>
      <family val="2"/>
      <scheme val="minor"/>
    </font>
    <font>
      <sz val="20"/>
      <color theme="1"/>
      <name val="Georgia"/>
      <family val="1"/>
      <scheme val="major"/>
    </font>
    <font>
      <b/>
      <sz val="24"/>
      <color theme="1"/>
      <name val="Segoe UI"/>
      <family val="2"/>
      <scheme val="minor"/>
    </font>
    <font>
      <sz val="9"/>
      <color theme="3"/>
      <name val="Segoe UI"/>
      <family val="2"/>
      <scheme val="minor"/>
    </font>
    <font>
      <sz val="11"/>
      <color theme="1"/>
      <name val="Georgia"/>
      <family val="1"/>
      <scheme val="major"/>
    </font>
    <font>
      <sz val="12"/>
      <color theme="1"/>
      <name val="Georgia"/>
      <family val="1"/>
      <scheme val="major"/>
    </font>
    <font>
      <sz val="10"/>
      <color theme="1"/>
      <name val="Courier New"/>
      <family val="3"/>
    </font>
    <font>
      <sz val="8"/>
      <color theme="3"/>
      <name val="Segoe UI"/>
      <family val="2"/>
      <scheme val="minor"/>
    </font>
    <font>
      <b/>
      <sz val="10"/>
      <color theme="1"/>
      <name val="Segoe UI"/>
      <family val="2"/>
      <scheme val="minor"/>
    </font>
    <font>
      <sz val="11"/>
      <color theme="2"/>
      <name val="Segoe U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NumberFormat="1"/>
    <xf numFmtId="14" fontId="0" fillId="0" borderId="0" xfId="0" applyNumberFormat="1"/>
    <xf numFmtId="168" fontId="0" fillId="0" borderId="0" xfId="0" applyNumberFormat="1"/>
    <xf numFmtId="37" fontId="0" fillId="0" borderId="0" xfId="1" applyNumberFormat="1" applyFont="1"/>
    <xf numFmtId="37" fontId="0" fillId="0" borderId="0" xfId="0" applyNumberFormat="1"/>
    <xf numFmtId="10" fontId="0" fillId="0" borderId="0" xfId="0" applyNumberFormat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37" fontId="6" fillId="3" borderId="0" xfId="0" applyNumberFormat="1" applyFont="1" applyFill="1" applyBorder="1" applyAlignment="1">
      <alignment horizontal="center" vertical="center"/>
    </xf>
    <xf numFmtId="10" fontId="6" fillId="3" borderId="0" xfId="0" applyNumberFormat="1" applyFont="1" applyFill="1" applyBorder="1" applyAlignment="1">
      <alignment horizontal="center" vertical="center"/>
    </xf>
    <xf numFmtId="37" fontId="6" fillId="3" borderId="9" xfId="0" applyNumberFormat="1" applyFont="1" applyFill="1" applyBorder="1" applyAlignment="1">
      <alignment horizontal="center" vertical="center"/>
    </xf>
    <xf numFmtId="37" fontId="6" fillId="3" borderId="10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0" fontId="6" fillId="3" borderId="9" xfId="0" applyNumberFormat="1" applyFont="1" applyFill="1" applyBorder="1" applyAlignment="1">
      <alignment horizontal="center" vertical="center"/>
    </xf>
    <xf numFmtId="10" fontId="6" fillId="3" borderId="10" xfId="0" applyNumberFormat="1" applyFont="1" applyFill="1" applyBorder="1" applyAlignment="1">
      <alignment horizontal="center" vertical="center"/>
    </xf>
    <xf numFmtId="0" fontId="8" fillId="2" borderId="0" xfId="0" applyFont="1" applyFill="1"/>
    <xf numFmtId="0" fontId="7" fillId="2" borderId="0" xfId="0" applyFont="1" applyFill="1"/>
    <xf numFmtId="0" fontId="2" fillId="2" borderId="0" xfId="0" applyFont="1" applyFill="1"/>
    <xf numFmtId="0" fontId="3" fillId="2" borderId="0" xfId="0" applyFont="1" applyFill="1"/>
    <xf numFmtId="168" fontId="10" fillId="2" borderId="0" xfId="0" applyNumberFormat="1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  <xf numFmtId="0" fontId="7" fillId="2" borderId="7" xfId="0" applyFon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7" fillId="2" borderId="0" xfId="0" applyFont="1" applyFill="1" applyBorder="1"/>
    <xf numFmtId="0" fontId="3" fillId="2" borderId="7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2" borderId="0" xfId="0" applyFill="1" applyAlignment="1">
      <alignment horizontal="centerContinuous"/>
    </xf>
    <xf numFmtId="0" fontId="7" fillId="2" borderId="7" xfId="0" applyFont="1" applyFill="1" applyBorder="1" applyAlignment="1">
      <alignment horizontal="centerContinuous"/>
    </xf>
    <xf numFmtId="0" fontId="7" fillId="2" borderId="0" xfId="0" applyFont="1" applyFill="1" applyAlignment="1">
      <alignment horizontal="centerContinuous"/>
    </xf>
    <xf numFmtId="0" fontId="11" fillId="2" borderId="0" xfId="0" applyFont="1" applyFill="1"/>
    <xf numFmtId="0" fontId="12" fillId="3" borderId="1" xfId="0" applyFont="1" applyFill="1" applyBorder="1"/>
    <xf numFmtId="0" fontId="0" fillId="2" borderId="7" xfId="0" applyFill="1" applyBorder="1"/>
    <xf numFmtId="3" fontId="0" fillId="0" borderId="0" xfId="0" applyNumberFormat="1"/>
    <xf numFmtId="0" fontId="13" fillId="2" borderId="0" xfId="0" applyFont="1" applyFill="1"/>
    <xf numFmtId="0" fontId="9" fillId="2" borderId="0" xfId="0" applyFont="1" applyFill="1"/>
    <xf numFmtId="0" fontId="4" fillId="2" borderId="7" xfId="0" applyFont="1" applyFill="1" applyBorder="1" applyAlignment="1">
      <alignment horizontal="centerContinuous"/>
    </xf>
    <xf numFmtId="3" fontId="3" fillId="2" borderId="2" xfId="0" applyNumberFormat="1" applyFont="1" applyFill="1" applyBorder="1"/>
    <xf numFmtId="10" fontId="3" fillId="2" borderId="2" xfId="0" applyNumberFormat="1" applyFont="1" applyFill="1" applyBorder="1"/>
    <xf numFmtId="0" fontId="4" fillId="2" borderId="2" xfId="0" applyFont="1" applyFill="1" applyBorder="1" applyAlignment="1">
      <alignment horizontal="centerContinuous"/>
    </xf>
    <xf numFmtId="173" fontId="3" fillId="2" borderId="2" xfId="0" applyNumberFormat="1" applyFont="1" applyFill="1" applyBorder="1"/>
    <xf numFmtId="3" fontId="3" fillId="2" borderId="3" xfId="0" applyNumberFormat="1" applyFont="1" applyFill="1" applyBorder="1"/>
    <xf numFmtId="10" fontId="3" fillId="2" borderId="3" xfId="0" applyNumberFormat="1" applyFont="1" applyFill="1" applyBorder="1"/>
    <xf numFmtId="0" fontId="4" fillId="2" borderId="3" xfId="0" applyFont="1" applyFill="1" applyBorder="1" applyAlignment="1">
      <alignment horizontal="centerContinuous"/>
    </xf>
    <xf numFmtId="173" fontId="3" fillId="2" borderId="3" xfId="0" applyNumberFormat="1" applyFont="1" applyFill="1" applyBorder="1"/>
  </cellXfs>
  <cellStyles count="2">
    <cellStyle name="Comma" xfId="1" builtinId="3"/>
    <cellStyle name="Normal" xfId="0" builtinId="0"/>
  </cellStyles>
  <dxfs count="17">
    <dxf>
      <font>
        <b/>
        <i val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solidFill>
                  <a:schemeClr val="tx1"/>
                </a:solidFill>
                <a:effectLst/>
                <a:latin typeface="+mj-lt"/>
              </a:rPr>
              <a:t>78.5% of sessions leave without viewing a product</a:t>
            </a:r>
            <a:endParaRPr lang="en-US" sz="1200">
              <a:solidFill>
                <a:schemeClr val="tx1"/>
              </a:solidFill>
              <a:latin typeface="+mj-lt"/>
            </a:endParaRPr>
          </a:p>
        </c:rich>
      </c:tx>
      <c:layout>
        <c:manualLayout>
          <c:xMode val="edge"/>
          <c:yMode val="edge"/>
          <c:x val="2.36803678702719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989762072105302"/>
          <c:y val="0.15571777486147564"/>
          <c:w val="0.7671975800610259"/>
          <c:h val="0.793356299212598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calc!$D$1</c:f>
              <c:strCache>
                <c:ptCount val="1"/>
                <c:pt idx="0">
                  <c:v>sessions_reached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6F-4DA4-8127-79161403BF2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505716A-56A7-4C66-BF90-BF9BBE86E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56F-4DA4-8127-79161403BF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3ECD777-32D4-4D0E-B011-1EBAC78AC7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56F-4DA4-8127-79161403BF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CB169CE-B64A-4E41-92C1-887E3A11D4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6F-4DA4-8127-79161403BF2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A867A49-383D-42EE-8EB2-63BBAACCE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6F-4DA4-8127-79161403BF2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9BEBB7-4ED2-4387-BE1E-161E918D6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6F-4DA4-8127-79161403BF2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F5A404D-E28A-4F00-9B40-CC35042B5D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6F-4DA4-8127-79161403BF2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5D42A91-0101-4316-B5A7-3252075C9E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6F-4DA4-8127-79161403BF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calc!$C$2:$C$8</c:f>
              <c:strCache>
                <c:ptCount val="7"/>
                <c:pt idx="0">
                  <c:v>All sessions</c:v>
                </c:pt>
                <c:pt idx="1">
                  <c:v>Viewed a product</c:v>
                </c:pt>
                <c:pt idx="2">
                  <c:v>Added to cart</c:v>
                </c:pt>
                <c:pt idx="3">
                  <c:v>Began checkout</c:v>
                </c:pt>
                <c:pt idx="4">
                  <c:v>Added shipping info</c:v>
                </c:pt>
                <c:pt idx="5">
                  <c:v>Added payment info</c:v>
                </c:pt>
                <c:pt idx="6">
                  <c:v>Purchased</c:v>
                </c:pt>
              </c:strCache>
            </c:strRef>
          </c:cat>
          <c:val>
            <c:numRef>
              <c:f>calc!$D$2:$D$8</c:f>
              <c:numCache>
                <c:formatCode>#,##0_);\(#,##0\)</c:formatCode>
                <c:ptCount val="7"/>
                <c:pt idx="0">
                  <c:v>355592</c:v>
                </c:pt>
                <c:pt idx="1">
                  <c:v>76533</c:v>
                </c:pt>
                <c:pt idx="2">
                  <c:v>15106</c:v>
                </c:pt>
                <c:pt idx="3">
                  <c:v>11063</c:v>
                </c:pt>
                <c:pt idx="4">
                  <c:v>11062</c:v>
                </c:pt>
                <c:pt idx="5">
                  <c:v>6786</c:v>
                </c:pt>
                <c:pt idx="6">
                  <c:v>4843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calc!$N$2:$N$8</c15:f>
                <c15:dlblRangeCache>
                  <c:ptCount val="7"/>
                  <c:pt idx="0">
                    <c:v>355,592   100.0%</c:v>
                  </c:pt>
                  <c:pt idx="1">
                    <c:v>76,533   21.5%</c:v>
                  </c:pt>
                  <c:pt idx="2">
                    <c:v>15,106   4.2%</c:v>
                  </c:pt>
                  <c:pt idx="3">
                    <c:v>11,063   3.1%</c:v>
                  </c:pt>
                  <c:pt idx="4">
                    <c:v>11,062   3.1%</c:v>
                  </c:pt>
                  <c:pt idx="5">
                    <c:v>6,786   1.9%</c:v>
                  </c:pt>
                  <c:pt idx="6">
                    <c:v>4,843   1.4%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56F-4DA4-8127-79161403B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07937215"/>
        <c:axId val="455727599"/>
      </c:barChart>
      <c:catAx>
        <c:axId val="11079372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27599"/>
        <c:crosses val="autoZero"/>
        <c:auto val="1"/>
        <c:lblAlgn val="ctr"/>
        <c:lblOffset val="100"/>
        <c:noMultiLvlLbl val="0"/>
      </c:catAx>
      <c:valAx>
        <c:axId val="455727599"/>
        <c:scaling>
          <c:orientation val="minMax"/>
          <c:max val="500000"/>
        </c:scaling>
        <c:delete val="0"/>
        <c:axPos val="t"/>
        <c:numFmt formatCode="#,##0_);\(#,##0\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93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 Leaks'!$B$7</c:f>
          <c:strCache>
            <c:ptCount val="1"/>
            <c:pt idx="0">
              <c:v>Segments whose "purchased" rate differs from the rest of sessions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78246791157748"/>
          <c:y val="7.6011788000184183E-2"/>
          <c:w val="0.81033944726723472"/>
          <c:h val="0.8656414790256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calc!$AF$1</c:f>
              <c:strCache>
                <c:ptCount val="1"/>
                <c:pt idx="0">
                  <c:v>differs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calc!$AC$2:$AC$16</c:f>
                <c:numCache>
                  <c:formatCode>General</c:formatCode>
                  <c:ptCount val="15"/>
                  <c:pt idx="0">
                    <c:v>7.7208633179497188E-4</c:v>
                  </c:pt>
                  <c:pt idx="1">
                    <c:v>7.8904938964005546E-4</c:v>
                  </c:pt>
                  <c:pt idx="2">
                    <c:v>2.7559846131464498E-3</c:v>
                  </c:pt>
                  <c:pt idx="3">
                    <c:v>7.6297719168985992E-4</c:v>
                  </c:pt>
                  <c:pt idx="4">
                    <c:v>9.0462456075908687E-4</c:v>
                  </c:pt>
                  <c:pt idx="5">
                    <c:v>9.9937650693157783E-4</c:v>
                  </c:pt>
                  <c:pt idx="6">
                    <c:v>4.2585708166639159E-3</c:v>
                  </c:pt>
                  <c:pt idx="7">
                    <c:v>4.0516227416414075E-3</c:v>
                  </c:pt>
                  <c:pt idx="8">
                    <c:v>1.0669898427038483E-2</c:v>
                  </c:pt>
                  <c:pt idx="9">
                    <c:v>7.7461246480918945E-4</c:v>
                  </c:pt>
                  <c:pt idx="10">
                    <c:v>9.0640644082441832E-4</c:v>
                  </c:pt>
                  <c:pt idx="11">
                    <c:v>1.115657346097353E-3</c:v>
                  </c:pt>
                  <c:pt idx="12">
                    <c:v>9.8289697176025476E-4</c:v>
                  </c:pt>
                  <c:pt idx="13">
                    <c:v>1.7162806156572757E-3</c:v>
                  </c:pt>
                  <c:pt idx="14">
                    <c:v>2.4553463016788214E-3</c:v>
                  </c:pt>
                </c:numCache>
              </c:numRef>
            </c:plus>
            <c:minus>
              <c:numRef>
                <c:f>calc!$AB$2:$AB$16</c:f>
                <c:numCache>
                  <c:formatCode>General</c:formatCode>
                  <c:ptCount val="15"/>
                  <c:pt idx="0">
                    <c:v>7.7984529510482202E-4</c:v>
                  </c:pt>
                  <c:pt idx="1">
                    <c:v>7.7907066530300754E-4</c:v>
                  </c:pt>
                  <c:pt idx="2">
                    <c:v>2.2888523223212878E-3</c:v>
                  </c:pt>
                  <c:pt idx="3">
                    <c:v>7.6753008575931067E-4</c:v>
                  </c:pt>
                  <c:pt idx="4">
                    <c:v>8.7290720199487007E-4</c:v>
                  </c:pt>
                  <c:pt idx="5">
                    <c:v>9.5415204445377052E-4</c:v>
                  </c:pt>
                  <c:pt idx="6">
                    <c:v>3.2681441137472162E-3</c:v>
                  </c:pt>
                  <c:pt idx="7">
                    <c:v>3.0361699378039769E-3</c:v>
                  </c:pt>
                  <c:pt idx="8">
                    <c:v>6.0449802614193108E-3</c:v>
                  </c:pt>
                  <c:pt idx="9">
                    <c:v>7.6111448002915555E-4</c:v>
                  </c:pt>
                  <c:pt idx="10">
                    <c:v>8.736443230681532E-4</c:v>
                  </c:pt>
                  <c:pt idx="11">
                    <c:v>1.0652482361374282E-3</c:v>
                  </c:pt>
                  <c:pt idx="12">
                    <c:v>9.2314895250545682E-4</c:v>
                  </c:pt>
                  <c:pt idx="13">
                    <c:v>1.4842332269914497E-3</c:v>
                  </c:pt>
                  <c:pt idx="14">
                    <c:v>2.2931653817277048E-3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multiLvlStrRef>
              <c:f>calc!$AD$2:$AE$16</c:f>
              <c:multiLvlStrCache>
                <c:ptCount val="15"/>
                <c:lvl>
                  <c:pt idx="0">
                    <c:v>desktop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americas</c:v>
                  </c:pt>
                  <c:pt idx="4">
                    <c:v>asia</c:v>
                  </c:pt>
                  <c:pt idx="5">
                    <c:v>europe</c:v>
                  </c:pt>
                  <c:pt idx="6">
                    <c:v>oceania</c:v>
                  </c:pt>
                  <c:pt idx="7">
                    <c:v>africa</c:v>
                  </c:pt>
                  <c:pt idx="8">
                    <c:v>unknown</c:v>
                  </c:pt>
                  <c:pt idx="9">
                    <c:v>organic</c:v>
                  </c:pt>
                  <c:pt idx="10">
                    <c:v>direct</c:v>
                  </c:pt>
                  <c:pt idx="11">
                    <c:v>referral</c:v>
                  </c:pt>
                  <c:pt idx="12">
                    <c:v>other</c:v>
                  </c:pt>
                  <c:pt idx="13">
                    <c:v>cpc</c:v>
                  </c:pt>
                  <c:pt idx="14">
                    <c:v>unknown</c:v>
                  </c:pt>
                </c:lvl>
                <c:lvl>
                  <c:pt idx="0">
                    <c:v>Device</c:v>
                  </c:pt>
                  <c:pt idx="3">
                    <c:v>Continent</c:v>
                  </c:pt>
                  <c:pt idx="9">
                    <c:v>Channel</c:v>
                  </c:pt>
                </c:lvl>
              </c:multiLvlStrCache>
            </c:multiLvlStrRef>
          </c:cat>
          <c:val>
            <c:numRef>
              <c:f>calc!$AF$2:$AF$16</c:f>
              <c:numCache>
                <c:formatCode>0.00%</c:formatCode>
                <c:ptCount val="15"/>
                <c:pt idx="0">
                  <c:v>-8.3652567138072648E-4</c:v>
                </c:pt>
                <c:pt idx="1">
                  <c:v>9.2587914783980388E-4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-3.7538810969310298E-3</c:v>
                </c:pt>
                <c:pt idx="10">
                  <c:v>#N/A</c:v>
                </c:pt>
                <c:pt idx="11">
                  <c:v>3.9116791749581759E-3</c:v>
                </c:pt>
                <c:pt idx="12">
                  <c:v>-4.3244780184246451E-3</c:v>
                </c:pt>
                <c:pt idx="13">
                  <c:v>-4.0190965525770707E-3</c:v>
                </c:pt>
                <c:pt idx="14">
                  <c:v>1.9531232722646855E-2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6-4120-A4A4-6ACFC9978873}"/>
            </c:ext>
          </c:extLst>
        </c:ser>
        <c:ser>
          <c:idx val="1"/>
          <c:order val="1"/>
          <c:tx>
            <c:strRef>
              <c:f>calc!$AG$1</c:f>
              <c:strCache>
                <c:ptCount val="1"/>
                <c:pt idx="0">
                  <c:v>within_noise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calc!$AC$2:$AC$16</c:f>
                <c:numCache>
                  <c:formatCode>General</c:formatCode>
                  <c:ptCount val="15"/>
                  <c:pt idx="0">
                    <c:v>7.7208633179497188E-4</c:v>
                  </c:pt>
                  <c:pt idx="1">
                    <c:v>7.8904938964005546E-4</c:v>
                  </c:pt>
                  <c:pt idx="2">
                    <c:v>2.7559846131464498E-3</c:v>
                  </c:pt>
                  <c:pt idx="3">
                    <c:v>7.6297719168985992E-4</c:v>
                  </c:pt>
                  <c:pt idx="4">
                    <c:v>9.0462456075908687E-4</c:v>
                  </c:pt>
                  <c:pt idx="5">
                    <c:v>9.9937650693157783E-4</c:v>
                  </c:pt>
                  <c:pt idx="6">
                    <c:v>4.2585708166639159E-3</c:v>
                  </c:pt>
                  <c:pt idx="7">
                    <c:v>4.0516227416414075E-3</c:v>
                  </c:pt>
                  <c:pt idx="8">
                    <c:v>1.0669898427038483E-2</c:v>
                  </c:pt>
                  <c:pt idx="9">
                    <c:v>7.7461246480918945E-4</c:v>
                  </c:pt>
                  <c:pt idx="10">
                    <c:v>9.0640644082441832E-4</c:v>
                  </c:pt>
                  <c:pt idx="11">
                    <c:v>1.115657346097353E-3</c:v>
                  </c:pt>
                  <c:pt idx="12">
                    <c:v>9.8289697176025476E-4</c:v>
                  </c:pt>
                  <c:pt idx="13">
                    <c:v>1.7162806156572757E-3</c:v>
                  </c:pt>
                  <c:pt idx="14">
                    <c:v>2.4553463016788214E-3</c:v>
                  </c:pt>
                </c:numCache>
              </c:numRef>
            </c:plus>
            <c:minus>
              <c:numRef>
                <c:f>calc!$AB$2:$AB$16</c:f>
                <c:numCache>
                  <c:formatCode>General</c:formatCode>
                  <c:ptCount val="15"/>
                  <c:pt idx="0">
                    <c:v>7.7984529510482202E-4</c:v>
                  </c:pt>
                  <c:pt idx="1">
                    <c:v>7.7907066530300754E-4</c:v>
                  </c:pt>
                  <c:pt idx="2">
                    <c:v>2.2888523223212878E-3</c:v>
                  </c:pt>
                  <c:pt idx="3">
                    <c:v>7.6753008575931067E-4</c:v>
                  </c:pt>
                  <c:pt idx="4">
                    <c:v>8.7290720199487007E-4</c:v>
                  </c:pt>
                  <c:pt idx="5">
                    <c:v>9.5415204445377052E-4</c:v>
                  </c:pt>
                  <c:pt idx="6">
                    <c:v>3.2681441137472162E-3</c:v>
                  </c:pt>
                  <c:pt idx="7">
                    <c:v>3.0361699378039769E-3</c:v>
                  </c:pt>
                  <c:pt idx="8">
                    <c:v>6.0449802614193108E-3</c:v>
                  </c:pt>
                  <c:pt idx="9">
                    <c:v>7.6111448002915555E-4</c:v>
                  </c:pt>
                  <c:pt idx="10">
                    <c:v>8.736443230681532E-4</c:v>
                  </c:pt>
                  <c:pt idx="11">
                    <c:v>1.0652482361374282E-3</c:v>
                  </c:pt>
                  <c:pt idx="12">
                    <c:v>9.2314895250545682E-4</c:v>
                  </c:pt>
                  <c:pt idx="13">
                    <c:v>1.4842332269914497E-3</c:v>
                  </c:pt>
                  <c:pt idx="14">
                    <c:v>2.2931653817277048E-3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calc!$AD$2:$AE$16</c:f>
              <c:multiLvlStrCache>
                <c:ptCount val="15"/>
                <c:lvl>
                  <c:pt idx="0">
                    <c:v>desktop</c:v>
                  </c:pt>
                  <c:pt idx="1">
                    <c:v>mobile</c:v>
                  </c:pt>
                  <c:pt idx="2">
                    <c:v>tablet</c:v>
                  </c:pt>
                  <c:pt idx="3">
                    <c:v>americas</c:v>
                  </c:pt>
                  <c:pt idx="4">
                    <c:v>asia</c:v>
                  </c:pt>
                  <c:pt idx="5">
                    <c:v>europe</c:v>
                  </c:pt>
                  <c:pt idx="6">
                    <c:v>oceania</c:v>
                  </c:pt>
                  <c:pt idx="7">
                    <c:v>africa</c:v>
                  </c:pt>
                  <c:pt idx="8">
                    <c:v>unknown</c:v>
                  </c:pt>
                  <c:pt idx="9">
                    <c:v>organic</c:v>
                  </c:pt>
                  <c:pt idx="10">
                    <c:v>direct</c:v>
                  </c:pt>
                  <c:pt idx="11">
                    <c:v>referral</c:v>
                  </c:pt>
                  <c:pt idx="12">
                    <c:v>other</c:v>
                  </c:pt>
                  <c:pt idx="13">
                    <c:v>cpc</c:v>
                  </c:pt>
                  <c:pt idx="14">
                    <c:v>unknown</c:v>
                  </c:pt>
                </c:lvl>
                <c:lvl>
                  <c:pt idx="0">
                    <c:v>Device</c:v>
                  </c:pt>
                  <c:pt idx="3">
                    <c:v>Continent</c:v>
                  </c:pt>
                  <c:pt idx="9">
                    <c:v>Channel</c:v>
                  </c:pt>
                </c:lvl>
              </c:multiLvlStrCache>
            </c:multiLvlStrRef>
          </c:cat>
          <c:val>
            <c:numRef>
              <c:f>calc!$AG$2:$AG$16</c:f>
              <c:numCache>
                <c:formatCode>0.00%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-8.3045153078892611E-4</c:v>
                </c:pt>
                <c:pt idx="3">
                  <c:v>4.2420938511304566E-4</c:v>
                </c:pt>
                <c:pt idx="4">
                  <c:v>-3.9733631331290327E-4</c:v>
                </c:pt>
                <c:pt idx="5">
                  <c:v>-8.9982911028714876E-5</c:v>
                </c:pt>
                <c:pt idx="6">
                  <c:v>-1.3986841736340905E-6</c:v>
                </c:pt>
                <c:pt idx="7">
                  <c:v>-1.9033456029463759E-3</c:v>
                </c:pt>
                <c:pt idx="8">
                  <c:v>7.9267642658685869E-5</c:v>
                </c:pt>
                <c:pt idx="9">
                  <c:v>#N/A</c:v>
                </c:pt>
                <c:pt idx="10">
                  <c:v>-7.3421786545622113E-4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6-4120-A4A4-6ACFC997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70780559"/>
        <c:axId val="455525039"/>
      </c:barChart>
      <c:catAx>
        <c:axId val="1970780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25039"/>
        <c:crosses val="autoZero"/>
        <c:auto val="1"/>
        <c:lblAlgn val="ctr"/>
        <c:lblOffset val="100"/>
        <c:noMultiLvlLbl val="0"/>
      </c:catAx>
      <c:valAx>
        <c:axId val="455525039"/>
        <c:scaling>
          <c:orientation val="minMax"/>
        </c:scaling>
        <c:delete val="0"/>
        <c:axPos val="b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8055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10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tx1"/>
                </a:solidFill>
                <a:effectLst/>
                <a:latin typeface="+mj-lt"/>
              </a:rPr>
              <a:t>Weekly session conversion, with 95% interval</a:t>
            </a:r>
            <a:endParaRPr lang="en-US" sz="1100">
              <a:solidFill>
                <a:schemeClr val="tx1"/>
              </a:solidFill>
              <a:latin typeface="+mj-lt"/>
            </a:endParaRPr>
          </a:p>
        </c:rich>
      </c:tx>
      <c:layout>
        <c:manualLayout>
          <c:xMode val="edge"/>
          <c:yMode val="edge"/>
          <c:x val="5.962059620596206E-3"/>
          <c:y val="1.2012012012012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1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Sessions (right axis)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calc!$AI$2:$AI$14</c:f>
              <c:strCache>
                <c:ptCount val="13"/>
                <c:pt idx="0">
                  <c:v>02 Nov</c:v>
                </c:pt>
                <c:pt idx="1">
                  <c:v>09 Nov</c:v>
                </c:pt>
                <c:pt idx="2">
                  <c:v>16 Nov</c:v>
                </c:pt>
                <c:pt idx="3">
                  <c:v>23 Nov</c:v>
                </c:pt>
                <c:pt idx="4">
                  <c:v>30 Nov</c:v>
                </c:pt>
                <c:pt idx="5">
                  <c:v>07 Dec</c:v>
                </c:pt>
                <c:pt idx="6">
                  <c:v>14 Dec</c:v>
                </c:pt>
                <c:pt idx="7">
                  <c:v>21 Dec</c:v>
                </c:pt>
                <c:pt idx="8">
                  <c:v>28 Dec</c:v>
                </c:pt>
                <c:pt idx="9">
                  <c:v>04 Jan</c:v>
                </c:pt>
                <c:pt idx="10">
                  <c:v>11 Jan</c:v>
                </c:pt>
                <c:pt idx="11">
                  <c:v>18 Jan</c:v>
                </c:pt>
                <c:pt idx="12">
                  <c:v>25 Jan</c:v>
                </c:pt>
              </c:strCache>
            </c:strRef>
          </c:cat>
          <c:val>
            <c:numRef>
              <c:f>calc!$AJ$2:$AJ$14</c:f>
              <c:numCache>
                <c:formatCode>General</c:formatCode>
                <c:ptCount val="13"/>
                <c:pt idx="0">
                  <c:v>24630</c:v>
                </c:pt>
                <c:pt idx="1">
                  <c:v>22177</c:v>
                </c:pt>
                <c:pt idx="2">
                  <c:v>25488</c:v>
                </c:pt>
                <c:pt idx="3">
                  <c:v>27376</c:v>
                </c:pt>
                <c:pt idx="4">
                  <c:v>30633</c:v>
                </c:pt>
                <c:pt idx="5">
                  <c:v>38220</c:v>
                </c:pt>
                <c:pt idx="6">
                  <c:v>32973</c:v>
                </c:pt>
                <c:pt idx="7">
                  <c:v>21888</c:v>
                </c:pt>
                <c:pt idx="8">
                  <c:v>20268</c:v>
                </c:pt>
                <c:pt idx="9">
                  <c:v>28756</c:v>
                </c:pt>
                <c:pt idx="10">
                  <c:v>27384</c:v>
                </c:pt>
                <c:pt idx="11">
                  <c:v>27142</c:v>
                </c:pt>
                <c:pt idx="12">
                  <c:v>26065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9-4704-8656-E05A7C2F2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7839600"/>
        <c:axId val="455581199"/>
      </c:barChart>
      <c:lineChart>
        <c:grouping val="standard"/>
        <c:varyColors val="0"/>
        <c:ser>
          <c:idx val="1"/>
          <c:order val="1"/>
          <c:tx>
            <c:v>Conversion rate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4100676439835264E-4"/>
                  <c:y val="-4.80028847745383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Peak 2.01%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BB9-4704-8656-E05A7C2F2788}"/>
                </c:ext>
              </c:extLst>
            </c:dLbl>
            <c:dLbl>
              <c:idx val="9"/>
              <c:layout>
                <c:manualLayout>
                  <c:x val="-6.2162644303608551E-2"/>
                  <c:y val="-7.50299118015653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Low </a:t>
                    </a:r>
                    <a:fld id="{AED361E5-BFA8-462A-AB36-6920E4B2BC9F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BB9-4704-8656-E05A7C2F278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calc!$AM$2:$AM$14</c:f>
                <c:numCache>
                  <c:formatCode>General</c:formatCode>
                  <c:ptCount val="13"/>
                  <c:pt idx="0">
                    <c:v>1.3279601975344779E-3</c:v>
                  </c:pt>
                  <c:pt idx="1">
                    <c:v>1.7053776089085201E-3</c:v>
                  </c:pt>
                  <c:pt idx="2">
                    <c:v>1.5490746088185972E-3</c:v>
                  </c:pt>
                  <c:pt idx="3">
                    <c:v>1.6766649766758908E-3</c:v>
                  </c:pt>
                  <c:pt idx="4">
                    <c:v>1.6004429219613238E-3</c:v>
                  </c:pt>
                  <c:pt idx="5">
                    <c:v>1.4575652685461966E-3</c:v>
                  </c:pt>
                  <c:pt idx="6">
                    <c:v>1.4360212863599592E-3</c:v>
                  </c:pt>
                  <c:pt idx="7">
                    <c:v>1.4480119264028112E-3</c:v>
                  </c:pt>
                  <c:pt idx="8">
                    <c:v>1.2293243827986248E-3</c:v>
                  </c:pt>
                  <c:pt idx="9">
                    <c:v>9.3355977606348652E-4</c:v>
                  </c:pt>
                  <c:pt idx="10">
                    <c:v>1.1449873339217462E-3</c:v>
                  </c:pt>
                  <c:pt idx="11">
                    <c:v>1.4590815428100912E-3</c:v>
                  </c:pt>
                  <c:pt idx="12">
                    <c:v>1.3919321217666057E-3</c:v>
                  </c:pt>
                </c:numCache>
              </c:numRef>
            </c:plus>
            <c:minus>
              <c:numRef>
                <c:f>calc!$AL$2:$AL$14</c:f>
                <c:numCache>
                  <c:formatCode>General</c:formatCode>
                  <c:ptCount val="13"/>
                  <c:pt idx="0">
                    <c:v>1.1751708938451365E-3</c:v>
                  </c:pt>
                  <c:pt idx="1">
                    <c:v>1.5375154423239289E-3</c:v>
                  </c:pt>
                  <c:pt idx="2">
                    <c:v>1.4027915529616838E-3</c:v>
                  </c:pt>
                  <c:pt idx="3">
                    <c:v>1.5416310420271126E-3</c:v>
                  </c:pt>
                  <c:pt idx="4">
                    <c:v>1.4798859847076837E-3</c:v>
                  </c:pt>
                  <c:pt idx="5">
                    <c:v>1.3611156527279233E-3</c:v>
                  </c:pt>
                  <c:pt idx="6">
                    <c:v>1.3233966609028664E-3</c:v>
                  </c:pt>
                  <c:pt idx="7">
                    <c:v>1.2762733614898793E-3</c:v>
                  </c:pt>
                  <c:pt idx="8">
                    <c:v>1.0424075836512085E-3</c:v>
                  </c:pt>
                  <c:pt idx="9">
                    <c:v>8.0149450205245932E-4</c:v>
                  </c:pt>
                  <c:pt idx="10">
                    <c:v>1.0070512630186018E-3</c:v>
                  </c:pt>
                  <c:pt idx="11">
                    <c:v>1.3214799893444904E-3</c:v>
                  </c:pt>
                  <c:pt idx="12">
                    <c:v>1.2480903424244866E-3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calc!$AI$2:$AI$14</c:f>
              <c:strCache>
                <c:ptCount val="13"/>
                <c:pt idx="0">
                  <c:v>02 Nov</c:v>
                </c:pt>
                <c:pt idx="1">
                  <c:v>09 Nov</c:v>
                </c:pt>
                <c:pt idx="2">
                  <c:v>16 Nov</c:v>
                </c:pt>
                <c:pt idx="3">
                  <c:v>23 Nov</c:v>
                </c:pt>
                <c:pt idx="4">
                  <c:v>30 Nov</c:v>
                </c:pt>
                <c:pt idx="5">
                  <c:v>07 Dec</c:v>
                </c:pt>
                <c:pt idx="6">
                  <c:v>14 Dec</c:v>
                </c:pt>
                <c:pt idx="7">
                  <c:v>21 Dec</c:v>
                </c:pt>
                <c:pt idx="8">
                  <c:v>28 Dec</c:v>
                </c:pt>
                <c:pt idx="9">
                  <c:v>04 Jan</c:v>
                </c:pt>
                <c:pt idx="10">
                  <c:v>11 Jan</c:v>
                </c:pt>
                <c:pt idx="11">
                  <c:v>18 Jan</c:v>
                </c:pt>
                <c:pt idx="12">
                  <c:v>25 Jan</c:v>
                </c:pt>
              </c:strCache>
            </c:strRef>
          </c:cat>
          <c:val>
            <c:numRef>
              <c:f>calc!$AK$2:$AK$14</c:f>
              <c:numCache>
                <c:formatCode>0.00%</c:formatCode>
                <c:ptCount val="13"/>
                <c:pt idx="0">
                  <c:v>1.0109622411693057E-2</c:v>
                </c:pt>
                <c:pt idx="1">
                  <c:v>1.5376290751679669E-2</c:v>
                </c:pt>
                <c:pt idx="2">
                  <c:v>1.4634337727558067E-2</c:v>
                </c:pt>
                <c:pt idx="3">
                  <c:v>1.8775569842197547E-2</c:v>
                </c:pt>
                <c:pt idx="4">
                  <c:v>1.9260274866973525E-2</c:v>
                </c:pt>
                <c:pt idx="5">
                  <c:v>2.0146520146520148E-2</c:v>
                </c:pt>
                <c:pt idx="6">
                  <c:v>1.6589330664483062E-2</c:v>
                </c:pt>
                <c:pt idx="7">
                  <c:v>1.0645102339181287E-2</c:v>
                </c:pt>
                <c:pt idx="8">
                  <c:v>6.8087625814091182E-3</c:v>
                </c:pt>
                <c:pt idx="9">
                  <c:v>5.6336068994296846E-3</c:v>
                </c:pt>
                <c:pt idx="10">
                  <c:v>8.2895121238679512E-3</c:v>
                </c:pt>
                <c:pt idx="11">
                  <c:v>1.3816225775550807E-2</c:v>
                </c:pt>
                <c:pt idx="12">
                  <c:v>1.1931709188567044E-2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9-4704-8656-E05A7C2F2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18720"/>
        <c:axId val="455531279"/>
      </c:lineChart>
      <c:catAx>
        <c:axId val="678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31279"/>
        <c:crosses val="autoZero"/>
        <c:auto val="1"/>
        <c:lblAlgn val="ctr"/>
        <c:lblOffset val="100"/>
        <c:noMultiLvlLbl val="0"/>
      </c:catAx>
      <c:valAx>
        <c:axId val="455531279"/>
        <c:scaling>
          <c:orientation val="minMax"/>
          <c:min val="0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18720"/>
        <c:crosses val="autoZero"/>
        <c:crossBetween val="between"/>
      </c:valAx>
      <c:valAx>
        <c:axId val="455581199"/>
        <c:scaling>
          <c:orientation val="minMax"/>
          <c:max val="120000"/>
        </c:scaling>
        <c:delete val="0"/>
        <c:axPos val="r"/>
        <c:numFmt formatCode="#,##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9600"/>
        <c:crosses val="max"/>
        <c:crossBetween val="between"/>
      </c:valAx>
      <c:catAx>
        <c:axId val="67839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5581199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50402116808569664"/>
          <c:y val="9.4587500886713482E-3"/>
          <c:w val="0.49277050124831956"/>
          <c:h val="5.3604312974391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10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tx1"/>
                </a:solidFill>
                <a:effectLst/>
                <a:latin typeface="+mj-lt"/>
              </a:rPr>
              <a:t>Men's / unisex apparel turns 5.0% of its viewers into buyers and brings in 35% of item revenue</a:t>
            </a:r>
            <a:endParaRPr lang="en-US" sz="1100">
              <a:solidFill>
                <a:schemeClr val="tx1"/>
              </a:solidFill>
              <a:latin typeface="+mj-lt"/>
            </a:endParaRPr>
          </a:p>
        </c:rich>
      </c:tx>
      <c:layout>
        <c:manualLayout>
          <c:xMode val="edge"/>
          <c:yMode val="edge"/>
          <c:x val="1.0561679790026247E-2"/>
          <c:y val="1.9417475728155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1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calc!$AS$2:$AS$13</c:f>
                <c:numCache>
                  <c:formatCode>General</c:formatCode>
                  <c:ptCount val="12"/>
                  <c:pt idx="0">
                    <c:v>2.3135420362125833E-3</c:v>
                  </c:pt>
                  <c:pt idx="1">
                    <c:v>2.0144730668028819E-3</c:v>
                  </c:pt>
                  <c:pt idx="2">
                    <c:v>2.1488132469655967E-3</c:v>
                  </c:pt>
                  <c:pt idx="3">
                    <c:v>1.5625914878056851E-3</c:v>
                  </c:pt>
                  <c:pt idx="4">
                    <c:v>1.8448365355488733E-3</c:v>
                  </c:pt>
                  <c:pt idx="5">
                    <c:v>3.9752097057826064E-3</c:v>
                  </c:pt>
                  <c:pt idx="6">
                    <c:v>3.1411755403800076E-3</c:v>
                  </c:pt>
                  <c:pt idx="7">
                    <c:v>3.0171019352441229E-3</c:v>
                  </c:pt>
                  <c:pt idx="8">
                    <c:v>3.0825105227676765E-3</c:v>
                  </c:pt>
                  <c:pt idx="9">
                    <c:v>3.1262116782626373E-3</c:v>
                  </c:pt>
                  <c:pt idx="10">
                    <c:v>3.3098214273876714E-3</c:v>
                  </c:pt>
                  <c:pt idx="11">
                    <c:v>4.3969384073630838E-3</c:v>
                  </c:pt>
                </c:numCache>
              </c:numRef>
            </c:plus>
            <c:minus>
              <c:numRef>
                <c:f>calc!$AR$2:$AR$13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calc!$AU$2:$AU$13</c:f>
              <c:strCache>
                <c:ptCount val="12"/>
                <c:pt idx="0">
                  <c:v>apparel/men's / unisex</c:v>
                </c:pt>
                <c:pt idx="1">
                  <c:v>apparel/hats</c:v>
                </c:pt>
                <c:pt idx="2">
                  <c:v>sale</c:v>
                </c:pt>
                <c:pt idx="3">
                  <c:v>shop by brand/youtube</c:v>
                </c:pt>
                <c:pt idx="4">
                  <c:v>new</c:v>
                </c:pt>
                <c:pt idx="5">
                  <c:v>lifestyle</c:v>
                </c:pt>
                <c:pt idx="6">
                  <c:v>eco-friendly</c:v>
                </c:pt>
                <c:pt idx="7">
                  <c:v>lifestyle/bags</c:v>
                </c:pt>
                <c:pt idx="8">
                  <c:v>apparel</c:v>
                </c:pt>
                <c:pt idx="9">
                  <c:v>apparel/women's</c:v>
                </c:pt>
                <c:pt idx="10">
                  <c:v>lifestyle/small goods</c:v>
                </c:pt>
                <c:pt idx="11">
                  <c:v>lifestyle/drinkware</c:v>
                </c:pt>
              </c:strCache>
            </c:strRef>
          </c:cat>
          <c:val>
            <c:numRef>
              <c:f>calc!$AV$2:$AV$13</c:f>
              <c:numCache>
                <c:formatCode>General</c:formatCode>
                <c:ptCount val="12"/>
                <c:pt idx="0">
                  <c:v>5.0480184779965964E-2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E-447A-A64C-7C06C74219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calc!$AS$2:$AS$13</c:f>
                <c:numCache>
                  <c:formatCode>General</c:formatCode>
                  <c:ptCount val="12"/>
                  <c:pt idx="0">
                    <c:v>2.3135420362125833E-3</c:v>
                  </c:pt>
                  <c:pt idx="1">
                    <c:v>2.0144730668028819E-3</c:v>
                  </c:pt>
                  <c:pt idx="2">
                    <c:v>2.1488132469655967E-3</c:v>
                  </c:pt>
                  <c:pt idx="3">
                    <c:v>1.5625914878056851E-3</c:v>
                  </c:pt>
                  <c:pt idx="4">
                    <c:v>1.8448365355488733E-3</c:v>
                  </c:pt>
                  <c:pt idx="5">
                    <c:v>3.9752097057826064E-3</c:v>
                  </c:pt>
                  <c:pt idx="6">
                    <c:v>3.1411755403800076E-3</c:v>
                  </c:pt>
                  <c:pt idx="7">
                    <c:v>3.0171019352441229E-3</c:v>
                  </c:pt>
                  <c:pt idx="8">
                    <c:v>3.0825105227676765E-3</c:v>
                  </c:pt>
                  <c:pt idx="9">
                    <c:v>3.1262116782626373E-3</c:v>
                  </c:pt>
                  <c:pt idx="10">
                    <c:v>3.3098214273876714E-3</c:v>
                  </c:pt>
                  <c:pt idx="11">
                    <c:v>4.3969384073630838E-3</c:v>
                  </c:pt>
                </c:numCache>
              </c:numRef>
            </c:plus>
            <c:minus>
              <c:numRef>
                <c:f>calc!$AR$2:$AR$13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calc!$AU$2:$AU$13</c:f>
              <c:strCache>
                <c:ptCount val="12"/>
                <c:pt idx="0">
                  <c:v>apparel/men's / unisex</c:v>
                </c:pt>
                <c:pt idx="1">
                  <c:v>apparel/hats</c:v>
                </c:pt>
                <c:pt idx="2">
                  <c:v>sale</c:v>
                </c:pt>
                <c:pt idx="3">
                  <c:v>shop by brand/youtube</c:v>
                </c:pt>
                <c:pt idx="4">
                  <c:v>new</c:v>
                </c:pt>
                <c:pt idx="5">
                  <c:v>lifestyle</c:v>
                </c:pt>
                <c:pt idx="6">
                  <c:v>eco-friendly</c:v>
                </c:pt>
                <c:pt idx="7">
                  <c:v>lifestyle/bags</c:v>
                </c:pt>
                <c:pt idx="8">
                  <c:v>apparel</c:v>
                </c:pt>
                <c:pt idx="9">
                  <c:v>apparel/women's</c:v>
                </c:pt>
                <c:pt idx="10">
                  <c:v>lifestyle/small goods</c:v>
                </c:pt>
                <c:pt idx="11">
                  <c:v>lifestyle/drinkware</c:v>
                </c:pt>
              </c:strCache>
            </c:strRef>
          </c:cat>
          <c:val>
            <c:numRef>
              <c:f>calc!$AW$2:$AW$13</c:f>
              <c:numCache>
                <c:formatCode>General</c:formatCode>
                <c:ptCount val="12"/>
                <c:pt idx="0">
                  <c:v>#N/A</c:v>
                </c:pt>
                <c:pt idx="1">
                  <c:v>2.6083828026623495E-2</c:v>
                </c:pt>
                <c:pt idx="2">
                  <c:v>2.9079900926520501E-2</c:v>
                </c:pt>
                <c:pt idx="3">
                  <c:v>1.3151323455968037E-2</c:v>
                </c:pt>
                <c:pt idx="4">
                  <c:v>1.729660474055093E-2</c:v>
                </c:pt>
                <c:pt idx="5">
                  <c:v>6.0564031437817849E-2</c:v>
                </c:pt>
                <c:pt idx="6">
                  <c:v>3.4500253678335868E-2</c:v>
                </c:pt>
                <c:pt idx="7">
                  <c:v>3.0880937800717347E-2</c:v>
                </c:pt>
                <c:pt idx="8">
                  <c:v>2.9280589490013574E-2</c:v>
                </c:pt>
                <c:pt idx="9">
                  <c:v>3.0029154518950437E-2</c:v>
                </c:pt>
                <c:pt idx="10">
                  <c:v>3.1619324072154259E-2</c:v>
                </c:pt>
                <c:pt idx="11">
                  <c:v>4.8716730038022814E-2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E-447A-A64C-7C06C7421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48211200"/>
        <c:axId val="455642639"/>
      </c:barChart>
      <c:catAx>
        <c:axId val="48211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42639"/>
        <c:crosses val="autoZero"/>
        <c:auto val="1"/>
        <c:lblAlgn val="ctr"/>
        <c:lblOffset val="100"/>
        <c:noMultiLvlLbl val="0"/>
      </c:catAx>
      <c:valAx>
        <c:axId val="45564263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4821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8</xdr:row>
      <xdr:rowOff>200025</xdr:rowOff>
    </xdr:from>
    <xdr:to>
      <xdr:col>9</xdr:col>
      <xdr:colOff>314326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9144B-9E9E-43C1-865F-5CE28BCFE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628650</xdr:colOff>
      <xdr:row>19</xdr:row>
      <xdr:rowOff>47625</xdr:rowOff>
    </xdr:from>
    <xdr:ext cx="5229225" cy="619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0FA655-F581-FDCA-C2A4-464EF20A6B29}"/>
            </a:ext>
          </a:extLst>
        </xdr:cNvPr>
        <xdr:cNvSpPr txBox="1"/>
      </xdr:nvSpPr>
      <xdr:spPr>
        <a:xfrm>
          <a:off x="6696075" y="4410075"/>
          <a:ext cx="5229225" cy="619125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Ins="182880" rtlCol="0" anchor="t">
          <a:noAutofit/>
        </a:bodyPr>
        <a:lstStyle/>
        <a:p>
          <a:r>
            <a:rPr lang="en-US" sz="9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Read the cart step with care.</a:t>
          </a:r>
          <a:r>
            <a:rPr lang="en-US" sz="9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46% of sessions that began checkout, and 41% of purchasing sessions, have no add-to-cart event. That fits a buy-now path or cart events that weren't recorded; this data can't tell which. Every other step follows the one before it almost perfectly.</a:t>
          </a:r>
          <a:endParaRPr lang="en-US" sz="900">
            <a:solidFill>
              <a:schemeClr val="tx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</xdr:row>
      <xdr:rowOff>200025</xdr:rowOff>
    </xdr:from>
    <xdr:to>
      <xdr:col>8</xdr:col>
      <xdr:colOff>685801</xdr:colOff>
      <xdr:row>30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464C54-88BB-48CB-ABF7-50CC50CC2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31</xdr:row>
      <xdr:rowOff>9525</xdr:rowOff>
    </xdr:from>
    <xdr:to>
      <xdr:col>8</xdr:col>
      <xdr:colOff>704850</xdr:colOff>
      <xdr:row>33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2DC55F-0828-1368-C433-1EDAA3CCDA3E}"/>
            </a:ext>
          </a:extLst>
        </xdr:cNvPr>
        <xdr:cNvSpPr txBox="1"/>
      </xdr:nvSpPr>
      <xdr:spPr>
        <a:xfrm>
          <a:off x="123825" y="6619875"/>
          <a:ext cx="5915025" cy="44767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Bars: segment's rate minus the rest of sessions' rate, percentage points. Whiskers: 95% Newcombe interval. Brown: the interval excludes zero. Association, not cause.</a:t>
          </a:r>
          <a:endParaRPr lang="en-US" sz="900">
            <a:solidFill>
              <a:schemeClr val="tx2"/>
            </a:solidFill>
          </a:endParaRPr>
        </a:p>
      </xdr:txBody>
    </xdr:sp>
    <xdr:clientData/>
  </xdr:twoCellAnchor>
  <xdr:twoCellAnchor>
    <xdr:from>
      <xdr:col>10</xdr:col>
      <xdr:colOff>0</xdr:colOff>
      <xdr:row>26</xdr:row>
      <xdr:rowOff>76200</xdr:rowOff>
    </xdr:from>
    <xdr:to>
      <xdr:col>20</xdr:col>
      <xdr:colOff>114300</xdr:colOff>
      <xdr:row>29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593DDB-1EB0-14C3-373B-358167DF9968}"/>
            </a:ext>
          </a:extLst>
        </xdr:cNvPr>
        <xdr:cNvSpPr txBox="1"/>
      </xdr:nvSpPr>
      <xdr:spPr>
        <a:xfrm>
          <a:off x="6800850" y="5638800"/>
          <a:ext cx="7400925" cy="600075"/>
        </a:xfrm>
        <a:prstGeom prst="rect">
          <a:avLst/>
        </a:prstGeom>
        <a:solidFill>
          <a:schemeClr val="bg1"/>
        </a:solidFill>
        <a:ln w="952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Don't act on "unknown".</a:t>
          </a:r>
          <a:r>
            <a:rPr lang="en-US" sz="9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These are sessions whose traffic source was deleted from the export "(data deleted)". They convert at 3.2% vs 1.3% for the rest, more than double. A pattern that strong in a field GA4 deleted is more likely a side effect of how this sample was anonymised than real behaviour.</a:t>
          </a:r>
          <a:endParaRPr lang="en-US" sz="9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4</xdr:row>
      <xdr:rowOff>114300</xdr:rowOff>
    </xdr:from>
    <xdr:to>
      <xdr:col>9</xdr:col>
      <xdr:colOff>85724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C4256-B63B-4604-B69D-5EAFAAD8D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9525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AB211D-41E2-4A0F-B1C3-0842F2182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23</xdr:row>
      <xdr:rowOff>161925</xdr:rowOff>
    </xdr:from>
    <xdr:to>
      <xdr:col>17</xdr:col>
      <xdr:colOff>19050</xdr:colOff>
      <xdr:row>26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A57AC9-C986-F437-EEFC-940EA9FFAE52}"/>
            </a:ext>
          </a:extLst>
        </xdr:cNvPr>
        <xdr:cNvSpPr txBox="1"/>
      </xdr:nvSpPr>
      <xdr:spPr>
        <a:xfrm>
          <a:off x="6810375" y="5095875"/>
          <a:ext cx="5143500" cy="5524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900" b="0" i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Bars: of sessions that viewed a product in the category, the share that also bought one; 95% Wilson interval. Products are matched across steps by name, because categories and item IDs differ between view and purchase events in this sample.</a:t>
          </a:r>
        </a:p>
        <a:p>
          <a:br>
            <a:rPr lang="en-US" sz="900">
              <a:solidFill>
                <a:schemeClr val="tx2"/>
              </a:solidFill>
            </a:rPr>
          </a:br>
          <a:endParaRPr lang="en-US" sz="900">
            <a:solidFill>
              <a:schemeClr val="tx2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1373AB7-5D9E-491A-8104-8EC4AD596602}" autoFormatId="16" applyNumberFormats="0" applyBorderFormats="0" applyFontFormats="0" applyPatternFormats="0" applyAlignmentFormats="0" applyWidthHeightFormats="0">
  <queryTableRefresh nextId="19" unboundColumnsRight="3">
    <queryTableFields count="18">
      <queryTableField id="1" name="item_category" tableColumnId="1"/>
      <queryTableField id="2" name="category_sort" tableColumnId="2"/>
      <queryTableField id="3" name="sessions_viewed" tableColumnId="3"/>
      <queryTableField id="4" name="sessions_viewed_and_carted" tableColumnId="4"/>
      <queryTableField id="5" name="sessions_viewed_and_purchased" tableColumnId="5"/>
      <queryTableField id="6" name="sessions_purchased" tableColumnId="6"/>
      <queryTableField id="7" name="units_purchased" tableColumnId="7"/>
      <queryTableField id="8" name="item_revenue_in_usd" tableColumnId="8"/>
      <queryTableField id="9" name="view_to_cart_rate" tableColumnId="9"/>
      <queryTableField id="10" name="view_to_cart_rate_lower" tableColumnId="10"/>
      <queryTableField id="11" name="view_to_cart_rate_upper" tableColumnId="11"/>
      <queryTableField id="12" name="view_to_purchase_rate" tableColumnId="12"/>
      <queryTableField id="13" name="view_to_purchase_rate_lower" tableColumnId="13"/>
      <queryTableField id="14" name="view_to_purchase_rate_upper" tableColumnId="14"/>
      <queryTableField id="15" name="is_thin_cell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13DC2CB-2F03-45A4-982A-AEB727556D22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week_start" tableColumnId="1"/>
      <queryTableField id="2" name="week_label" tableColumnId="2"/>
      <queryTableField id="3" name="week_sort" tableColumnId="3"/>
      <queryTableField id="4" name="days_in_week" tableColumnId="4"/>
      <queryTableField id="5" name="is_partial_week" tableColumnId="5"/>
      <queryTableField id="6" name="sessions" tableColumnId="6"/>
      <queryTableField id="7" name="sessions_with_view_item" tableColumnId="7"/>
      <queryTableField id="8" name="sessions_with_add_to_cart" tableColumnId="8"/>
      <queryTableField id="9" name="sessions_with_begin_checkout" tableColumnId="9"/>
      <queryTableField id="10" name="sessions_with_purchase" tableColumnId="10"/>
      <queryTableField id="11" name="session_conversion_rate" tableColumnId="11"/>
      <queryTableField id="12" name="session_conversion_rate_lower" tableColumnId="12"/>
      <queryTableField id="13" name="session_conversion_rate_upper" tableColumnId="13"/>
      <queryTableField id="14" dataBound="0" tableColumnId="14"/>
      <queryTableField id="15" dataBound="0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3D5DF3-DD42-4C2F-8733-EFE137258142}" autoFormatId="16" applyNumberFormats="0" applyBorderFormats="0" applyFontFormats="0" applyPatternFormats="0" applyAlignmentFormats="0" applyWidthHeightFormats="0">
  <queryTableRefresh nextId="29" unboundColumnsRight="6">
    <queryTableFields count="28">
      <queryTableField id="1" name="segment_type" tableColumnId="1"/>
      <queryTableField id="2" name="segment_type_sort" tableColumnId="2"/>
      <queryTableField id="3" name="segment_value" tableColumnId="3"/>
      <queryTableField id="4" name="segment_sort" tableColumnId="4"/>
      <queryTableField id="5" name="step" tableColumnId="5"/>
      <queryTableField id="6" name="step_sort" tableColumnId="6"/>
      <queryTableField id="7" name="segment_sessions" tableColumnId="7"/>
      <queryTableField id="8" name="sessions_reached" tableColumnId="8"/>
      <queryTableField id="9" name="prev_step_sessions" tableColumnId="9"/>
      <queryTableField id="10" name="reached_from_prev" tableColumnId="10"/>
      <queryTableField id="11" name="reach_rate" tableColumnId="11"/>
      <queryTableField id="12" name="reach_rate_lower" tableColumnId="12"/>
      <queryTableField id="13" name="reach_rate_upper" tableColumnId="13"/>
      <queryTableField id="14" name="step_conversion" tableColumnId="14"/>
      <queryTableField id="15" name="step_conversion_lower" tableColumnId="15"/>
      <queryTableField id="16" name="step_conversion_upper" tableColumnId="16"/>
      <queryTableField id="17" name="skipped_prev_share" tableColumnId="17"/>
      <queryTableField id="18" name="gap_vs_rest" tableColumnId="18"/>
      <queryTableField id="19" name="gap_vs_rest_lower" tableColumnId="19"/>
      <queryTableField id="20" name="gap_vs_rest_upper" tableColumnId="20"/>
      <queryTableField id="21" name="is_thin_segment" tableColumnId="21"/>
      <queryTableField id="22" name="is_thin_step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7D43E7-8C08-4E79-9943-9FD0CA749649}" name="tProduct" displayName="tProduct" ref="A1:R36" tableType="queryTable" totalsRowShown="0">
  <autoFilter ref="A1:R36" xr:uid="{7D7D43E7-8C08-4E79-9943-9FD0CA749649}"/>
  <tableColumns count="18">
    <tableColumn id="1" xr3:uid="{4912F13A-3C95-4927-8DF0-3F9BF0FCBA05}" uniqueName="1" name="item_category" queryTableFieldId="1" dataDxfId="7"/>
    <tableColumn id="2" xr3:uid="{CBB53284-B48C-497E-8D46-2B0F31F9611A}" uniqueName="2" name="category_sort" queryTableFieldId="2"/>
    <tableColumn id="3" xr3:uid="{1DE477CF-C25F-48A3-AAB3-C979AFD2142E}" uniqueName="3" name="sessions_viewed" queryTableFieldId="3"/>
    <tableColumn id="4" xr3:uid="{BC637CE8-F8B7-4B57-B563-E2F0C02CF537}" uniqueName="4" name="sessions_viewed_and_carted" queryTableFieldId="4"/>
    <tableColumn id="5" xr3:uid="{828C65A2-5EE7-46F4-B7A2-7A0180E524DF}" uniqueName="5" name="sessions_viewed_and_purchased" queryTableFieldId="5"/>
    <tableColumn id="6" xr3:uid="{48A78F25-E4BD-4702-99C7-16B9C14006AC}" uniqueName="6" name="sessions_purchased" queryTableFieldId="6"/>
    <tableColumn id="7" xr3:uid="{5948511D-33C6-41FD-BA47-803612B31266}" uniqueName="7" name="units_purchased" queryTableFieldId="7"/>
    <tableColumn id="8" xr3:uid="{20FEA717-E889-4C09-8E1B-7B6DEE540283}" uniqueName="8" name="item_revenue_in_usd" queryTableFieldId="8"/>
    <tableColumn id="9" xr3:uid="{2C8B4128-02AB-4BEF-9944-B6377880B9B0}" uniqueName="9" name="view_to_cart_rate" queryTableFieldId="9"/>
    <tableColumn id="10" xr3:uid="{07002311-BB3C-49A0-BEDC-3CDDBA1DB939}" uniqueName="10" name="view_to_cart_rate_lower" queryTableFieldId="10"/>
    <tableColumn id="11" xr3:uid="{C460D7F1-5665-4DE7-915F-7B327435E307}" uniqueName="11" name="view_to_cart_rate_upper" queryTableFieldId="11"/>
    <tableColumn id="12" xr3:uid="{3E494194-80D3-4B04-87D5-08B2C39D3675}" uniqueName="12" name="view_to_purchase_rate" queryTableFieldId="12"/>
    <tableColumn id="13" xr3:uid="{D1A4F049-B215-4690-BDFB-F79B6AEDEEC4}" uniqueName="13" name="view_to_purchase_rate_lower" queryTableFieldId="13"/>
    <tableColumn id="14" xr3:uid="{33BC76B9-257B-4400-BCD7-F8864BD54EFE}" uniqueName="14" name="view_to_purchase_rate_upper" queryTableFieldId="14"/>
    <tableColumn id="15" xr3:uid="{9F541A9D-4F47-42CB-AEC1-5B4F985C4691}" uniqueName="15" name="is_thin_cell" queryTableFieldId="15"/>
    <tableColumn id="16" xr3:uid="{A88A7DCF-2AA4-4195-8AD6-0DA30CFBB8B7}" uniqueName="16" name="reach_err_minus" queryTableFieldId="16"/>
    <tableColumn id="17" xr3:uid="{6046CC19-5C7B-45B1-A4D7-059A80C3E140}" uniqueName="17" name="v2p_err_minus" queryTableFieldId="17" dataDxfId="11">
      <calculatedColumnFormula>tProduct[[#This Row],[view_to_purchase_rate]]-tProduct[[#This Row],[view_to_purchase_rate_lower]]</calculatedColumnFormula>
    </tableColumn>
    <tableColumn id="18" xr3:uid="{2DAC2CC3-8BD8-4440-BAAC-63EEA3AAD378}" uniqueName="18" name="v2p_err_plus" queryTableFieldId="18" dataDxfId="10">
      <calculatedColumnFormula>tProduct[[#This Row],[view_to_purchase_rate_upper]]-tProduct[[#This Row],[view_to_purchase_rate]]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3F46B0-E5A1-4F1C-8203-06CC2CF04508}" name="tWeekly" displayName="tWeekly" ref="A1:O15" tableType="queryTable" totalsRowShown="0">
  <autoFilter ref="A1:O15" xr:uid="{183F46B0-E5A1-4F1C-8203-06CC2CF04508}"/>
  <tableColumns count="15">
    <tableColumn id="1" xr3:uid="{AAC29EB7-3A4D-4E56-B0F3-E693B290548D}" uniqueName="1" name="week_start" queryTableFieldId="1" dataDxfId="9"/>
    <tableColumn id="2" xr3:uid="{387918FB-0722-4C5F-85A7-C9AAB05D7253}" uniqueName="2" name="week_label" queryTableFieldId="2" dataDxfId="8"/>
    <tableColumn id="3" xr3:uid="{F7568EB7-F84E-49E0-97F1-FD4C16921789}" uniqueName="3" name="week_sort" queryTableFieldId="3"/>
    <tableColumn id="4" xr3:uid="{12043725-50E0-4C4A-8F6A-03F7A4B9BD90}" uniqueName="4" name="days_in_week" queryTableFieldId="4"/>
    <tableColumn id="5" xr3:uid="{F85985EF-D22C-4C95-9F7B-731807BBAC0A}" uniqueName="5" name="is_partial_week" queryTableFieldId="5"/>
    <tableColumn id="6" xr3:uid="{8E7825A6-1C54-4020-BA4E-94A6CB10A928}" uniqueName="6" name="sessions" queryTableFieldId="6"/>
    <tableColumn id="7" xr3:uid="{517F5E4F-5D66-4183-8EF7-E562F3D1B0A3}" uniqueName="7" name="sessions_with_view_item" queryTableFieldId="7"/>
    <tableColumn id="8" xr3:uid="{C393FBFF-8F0C-4F8B-861B-B39434602A2B}" uniqueName="8" name="sessions_with_add_to_cart" queryTableFieldId="8"/>
    <tableColumn id="9" xr3:uid="{5C658FDB-F8F6-47AD-95C5-31466A64BE26}" uniqueName="9" name="sessions_with_begin_checkout" queryTableFieldId="9"/>
    <tableColumn id="10" xr3:uid="{71EE8283-F73E-471D-9D9D-A564A3468D9B}" uniqueName="10" name="sessions_with_purchase" queryTableFieldId="10"/>
    <tableColumn id="11" xr3:uid="{45F72DD3-3D8B-4632-B1A8-F7526833AB08}" uniqueName="11" name="session_conversion_rate" queryTableFieldId="11"/>
    <tableColumn id="12" xr3:uid="{8FCB0224-97C3-4BD9-B0AF-825A7669FD49}" uniqueName="12" name="session_conversion_rate_lower" queryTableFieldId="12"/>
    <tableColumn id="13" xr3:uid="{65B18C60-5097-4E4B-8807-3AA1022D732B}" uniqueName="13" name="session_conversion_rate_upper" queryTableFieldId="13"/>
    <tableColumn id="14" xr3:uid="{0A46D055-870C-4DD4-A690-CA8720CC9DEA}" uniqueName="14" name="cr_err_minus" queryTableFieldId="14" dataDxfId="13">
      <calculatedColumnFormula>tWeekly[[#This Row],[session_conversion_rate]]-tWeekly[[#This Row],[session_conversion_rate_lower]]</calculatedColumnFormula>
    </tableColumn>
    <tableColumn id="15" xr3:uid="{BC8A44BB-EB59-436F-B751-EE8CEE2D6E87}" uniqueName="15" name="cr_err_plus" queryTableFieldId="15" dataDxfId="12">
      <calculatedColumnFormula>tWeekly[[#This Row],[session_conversion_rate_upper]]-tWeekly[[#This Row],[session_conversion_rate]]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CA5F7-B628-4E32-988E-E6B83447883E}" name="tFunnel" displayName="tFunnel" ref="A1:AB113" tableType="queryTable" totalsRowShown="0">
  <autoFilter ref="A1:AB113" xr:uid="{3F0CA5F7-B628-4E32-988E-E6B83447883E}">
    <filterColumn colId="0">
      <filters>
        <filter val="overall"/>
      </filters>
    </filterColumn>
  </autoFilter>
  <sortState xmlns:xlrd2="http://schemas.microsoft.com/office/spreadsheetml/2017/richdata2" ref="A2:AB113">
    <sortCondition descending="1" ref="F1:F113"/>
  </sortState>
  <tableColumns count="28">
    <tableColumn id="1" xr3:uid="{2E381661-00FA-4360-B5E3-97FA2AC1BA24}" uniqueName="1" name="segment_type" queryTableFieldId="1" dataDxfId="6"/>
    <tableColumn id="2" xr3:uid="{0A6789D3-C936-48C6-BD42-6A00E25314BB}" uniqueName="2" name="segment_type_sort" queryTableFieldId="2"/>
    <tableColumn id="3" xr3:uid="{6E7A8507-9646-4F41-A3B4-1205B2EAE140}" uniqueName="3" name="segment_value" queryTableFieldId="3" dataDxfId="5"/>
    <tableColumn id="4" xr3:uid="{964F9CF1-0C63-4BE9-AAA4-B120E3179828}" uniqueName="4" name="segment_sort" queryTableFieldId="4"/>
    <tableColumn id="5" xr3:uid="{C6AC74E7-F5F2-4247-B30F-387D4E229025}" uniqueName="5" name="step" queryTableFieldId="5" dataDxfId="4"/>
    <tableColumn id="6" xr3:uid="{E39A99AB-A7C4-4BC9-9776-8626DEBA8873}" uniqueName="6" name="step_sort" queryTableFieldId="6"/>
    <tableColumn id="7" xr3:uid="{0F67CD89-90BE-459C-B53A-CA4D876CA927}" uniqueName="7" name="segment_sessions" queryTableFieldId="7"/>
    <tableColumn id="8" xr3:uid="{B13EF421-5475-43A5-8204-9229C2969F4B}" uniqueName="8" name="sessions_reached" queryTableFieldId="8"/>
    <tableColumn id="9" xr3:uid="{04164095-6C61-4DFC-9EB3-882F456804AC}" uniqueName="9" name="prev_step_sessions" queryTableFieldId="9"/>
    <tableColumn id="10" xr3:uid="{75ADF745-0174-480E-819D-C89C19FC0657}" uniqueName="10" name="reached_from_prev" queryTableFieldId="10"/>
    <tableColumn id="11" xr3:uid="{8952A1C5-3316-4E7F-A7D2-0379C3F78AA0}" uniqueName="11" name="reach_rate" queryTableFieldId="11"/>
    <tableColumn id="12" xr3:uid="{84AD1CE8-5801-4AAE-A5E2-6B838EE3C717}" uniqueName="12" name="reach_rate_lower" queryTableFieldId="12"/>
    <tableColumn id="13" xr3:uid="{2DD2A37A-2644-431F-9C2B-45E7D041945A}" uniqueName="13" name="reach_rate_upper" queryTableFieldId="13"/>
    <tableColumn id="14" xr3:uid="{D80CCB5E-9E3B-446F-A6B3-A2A761509A37}" uniqueName="14" name="step_conversion" queryTableFieldId="14"/>
    <tableColumn id="15" xr3:uid="{7C4FC024-B6F4-4737-9F17-846429A65861}" uniqueName="15" name="step_conversion_lower" queryTableFieldId="15"/>
    <tableColumn id="16" xr3:uid="{B98E0B90-2215-4ED8-B55F-37E6D0E57045}" uniqueName="16" name="step_conversion_upper" queryTableFieldId="16"/>
    <tableColumn id="17" xr3:uid="{44D2A724-9B53-428C-9D30-F19FCF6CEC4A}" uniqueName="17" name="skipped_prev_share" queryTableFieldId="17"/>
    <tableColumn id="18" xr3:uid="{8F2E3B41-38EC-4400-B8E7-E11B8130F46A}" uniqueName="18" name="gap_vs_rest" queryTableFieldId="18"/>
    <tableColumn id="19" xr3:uid="{8BF616B2-296C-4D37-8411-B1D2A1281FAB}" uniqueName="19" name="gap_vs_rest_lower" queryTableFieldId="19"/>
    <tableColumn id="20" xr3:uid="{8C5A16D2-C029-4524-B72D-E4993AE94EE1}" uniqueName="20" name="gap_vs_rest_upper" queryTableFieldId="20"/>
    <tableColumn id="21" xr3:uid="{509F1219-DC29-45C7-85B4-EC8DB3F6C723}" uniqueName="21" name="is_thin_segment" queryTableFieldId="21"/>
    <tableColumn id="22" xr3:uid="{75E0EF6C-C28A-4442-A920-A104FA4744C5}" uniqueName="22" name="is_thin_step" queryTableFieldId="22"/>
    <tableColumn id="23" xr3:uid="{6B73A608-DBEE-47AF-B4F9-DC7E6E80F4C3}" uniqueName="23" name="reach_err_minus" queryTableFieldId="23" dataDxfId="16">
      <calculatedColumnFormula>tFunnel[[#This Row],[reach_rate]] -tFunnel[[#This Row],[reach_rate_lower]]</calculatedColumnFormula>
    </tableColumn>
    <tableColumn id="24" xr3:uid="{7917AFCE-7EAA-48F1-825E-A4B3838C9B2E}" uniqueName="24" name="reach_err_plus" queryTableFieldId="24" dataDxfId="15">
      <calculatedColumnFormula>tFunnel[[#This Row],[reach_rate_upper]]-tFunnel[[#This Row],[reach_rate]]</calculatedColumnFormula>
    </tableColumn>
    <tableColumn id="25" xr3:uid="{5EF87A73-3495-43B6-A60C-46D531DB86E1}" uniqueName="25" name="conv_err_minus" queryTableFieldId="25" dataDxfId="14">
      <calculatedColumnFormula>tFunnel[[#This Row],[step_conversion]]-tFunnel[[#This Row],[step_conversion_lower]]</calculatedColumnFormula>
    </tableColumn>
    <tableColumn id="26" xr3:uid="{DB593A94-8DCA-453A-A635-C1DEB14DD9FC}" uniqueName="26" name="conv_err_plus" queryTableFieldId="26" dataDxfId="3">
      <calculatedColumnFormula>tFunnel[[#This Row],[step_conversion_upper]]-tFunnel[[#This Row],[step_conversion]]</calculatedColumnFormula>
    </tableColumn>
    <tableColumn id="27" xr3:uid="{4EFADF0B-08F2-4786-8EF4-986BA41B32C6}" uniqueName="27" name="gap_err_minus" queryTableFieldId="27" dataDxfId="2">
      <calculatedColumnFormula>tFunnel[[#This Row],[gap_vs_rest]]-tFunnel[[#This Row],[gap_vs_rest_lower]]</calculatedColumnFormula>
    </tableColumn>
    <tableColumn id="28" xr3:uid="{872F474D-BA9B-4202-9011-2B9FD040B7DE}" uniqueName="28" name="gap_err_plus" queryTableFieldId="28" dataDxfId="1">
      <calculatedColumnFormula>tFunnel[[#This Row],[gap_vs_rest_upper]]-tFunnel[[#This Row],[gap_vs_rest]]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A4 Funnel">
      <a:dk1>
        <a:srgbClr val="1F1A14"/>
      </a:dk1>
      <a:lt1>
        <a:sysClr val="window" lastClr="FFFFFF"/>
      </a:lt1>
      <a:dk2>
        <a:srgbClr val="56687D"/>
      </a:dk2>
      <a:lt2>
        <a:srgbClr val="FAF7F2"/>
      </a:lt2>
      <a:accent1>
        <a:srgbClr val="4B3621"/>
      </a:accent1>
      <a:accent2>
        <a:srgbClr val="56687D"/>
      </a:accent2>
      <a:accent3>
        <a:srgbClr val="D8CBB8"/>
      </a:accent3>
      <a:accent4>
        <a:srgbClr val="E2DACE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GA4 Funnel">
      <a:majorFont>
        <a:latin typeface="Georgia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8455-AFCF-44AC-BF2D-BB1FB0B520F2}">
  <sheetPr>
    <pageSetUpPr fitToPage="1"/>
  </sheetPr>
  <dimension ref="B2:S36"/>
  <sheetViews>
    <sheetView showGridLines="0" workbookViewId="0">
      <selection sqref="A1:U37"/>
    </sheetView>
  </sheetViews>
  <sheetFormatPr defaultRowHeight="16.5" x14ac:dyDescent="0.3"/>
  <cols>
    <col min="1" max="1" width="2.625" style="7" customWidth="1"/>
    <col min="2" max="19" width="9.625" style="7" customWidth="1"/>
    <col min="20" max="16384" width="9" style="7"/>
  </cols>
  <sheetData>
    <row r="2" spans="2:19" ht="25.5" x14ac:dyDescent="0.35">
      <c r="B2" s="9" t="s">
        <v>138</v>
      </c>
    </row>
    <row r="3" spans="2:19" x14ac:dyDescent="0.3">
      <c r="B3" s="8" t="s">
        <v>139</v>
      </c>
    </row>
    <row r="5" spans="2:19" x14ac:dyDescent="0.3">
      <c r="B5" s="17" t="s">
        <v>140</v>
      </c>
      <c r="C5" s="18"/>
      <c r="D5" s="18"/>
      <c r="E5" s="19"/>
      <c r="G5" s="17" t="s">
        <v>141</v>
      </c>
      <c r="H5" s="18"/>
      <c r="I5" s="18"/>
      <c r="J5" s="19"/>
      <c r="L5" s="17" t="s">
        <v>142</v>
      </c>
      <c r="M5" s="18"/>
      <c r="N5" s="18"/>
      <c r="O5" s="19"/>
    </row>
    <row r="6" spans="2:19" ht="37.5" customHeight="1" x14ac:dyDescent="0.3">
      <c r="B6" s="12">
        <f>calc!B11</f>
        <v>355592</v>
      </c>
      <c r="C6" s="10"/>
      <c r="D6" s="10"/>
      <c r="E6" s="13"/>
      <c r="G6" s="20">
        <f>calc!B13</f>
        <v>1.3619541496996557E-2</v>
      </c>
      <c r="H6" s="11"/>
      <c r="I6" s="11"/>
      <c r="J6" s="21"/>
      <c r="L6" s="12">
        <f>calc!B12</f>
        <v>4843</v>
      </c>
      <c r="M6" s="10"/>
      <c r="N6" s="10"/>
      <c r="O6" s="13"/>
    </row>
    <row r="7" spans="2:19" x14ac:dyDescent="0.3">
      <c r="B7" s="12"/>
      <c r="C7" s="10"/>
      <c r="D7" s="10"/>
      <c r="E7" s="13"/>
      <c r="G7" s="20"/>
      <c r="H7" s="11"/>
      <c r="I7" s="11"/>
      <c r="J7" s="21"/>
      <c r="L7" s="12"/>
      <c r="M7" s="10"/>
      <c r="N7" s="10"/>
      <c r="O7" s="13"/>
    </row>
    <row r="8" spans="2:19" x14ac:dyDescent="0.3">
      <c r="B8" s="14" t="s">
        <v>143</v>
      </c>
      <c r="C8" s="15"/>
      <c r="D8" s="15"/>
      <c r="E8" s="16"/>
      <c r="G8" s="14" t="str">
        <f>calc!B14</f>
        <v>95% CI 1.32% – 1.40%</v>
      </c>
      <c r="H8" s="15"/>
      <c r="I8" s="15"/>
      <c r="J8" s="16"/>
      <c r="L8" s="14" t="s">
        <v>144</v>
      </c>
      <c r="M8" s="15"/>
      <c r="N8" s="15"/>
      <c r="O8" s="16"/>
    </row>
    <row r="10" spans="2:19" x14ac:dyDescent="0.3">
      <c r="K10" s="22" t="s">
        <v>146</v>
      </c>
    </row>
    <row r="12" spans="2:19" x14ac:dyDescent="0.3">
      <c r="K12" s="30" t="s">
        <v>150</v>
      </c>
      <c r="O12" s="28" t="s">
        <v>151</v>
      </c>
      <c r="P12" s="34"/>
      <c r="Q12" s="35" t="s">
        <v>148</v>
      </c>
      <c r="R12" s="29"/>
      <c r="S12" s="28" t="s">
        <v>149</v>
      </c>
    </row>
    <row r="13" spans="2:19" x14ac:dyDescent="0.3">
      <c r="K13" s="31" t="str">
        <f>calc!C2&amp;" → "&amp;LOWER(calc!C3)</f>
        <v>All sessions → viewed a product</v>
      </c>
      <c r="L13" s="25"/>
      <c r="M13" s="25"/>
      <c r="O13" s="26">
        <f>calc!H3</f>
        <v>0.21522700173232243</v>
      </c>
      <c r="P13" s="34"/>
      <c r="Q13" s="36" t="str">
        <f>TEXT(calc!I3,"0.0%")&amp;" – "&amp;TEXT(calc!J3,"0.0%")</f>
        <v>21.4% – 21.7%</v>
      </c>
      <c r="S13" s="27">
        <f>calc!K3</f>
        <v>0</v>
      </c>
    </row>
    <row r="14" spans="2:19" x14ac:dyDescent="0.3">
      <c r="K14" s="32" t="str">
        <f>calc!C3&amp;" → "&amp;LOWER(calc!C4)</f>
        <v>Viewed a product → added to cart</v>
      </c>
      <c r="L14" s="25"/>
      <c r="M14" s="25"/>
      <c r="O14" s="26">
        <f>calc!H4</f>
        <v>0.19716984830073303</v>
      </c>
      <c r="P14" s="34"/>
      <c r="Q14" s="36" t="str">
        <f>TEXT(calc!I4,"0.0%")&amp;" – "&amp;TEXT(calc!J4,"0.0%")</f>
        <v>19.4% – 20.0%</v>
      </c>
      <c r="S14" s="27">
        <f>calc!K4</f>
        <v>1.0591817820733483E-3</v>
      </c>
    </row>
    <row r="15" spans="2:19" x14ac:dyDescent="0.3">
      <c r="K15" s="32" t="str">
        <f>calc!C4&amp;" → "&amp;LOWER(calc!C5)</f>
        <v>Added to cart → began checkout</v>
      </c>
      <c r="L15" s="25"/>
      <c r="M15" s="25"/>
      <c r="O15" s="26">
        <f>calc!H5</f>
        <v>0.39401562293128556</v>
      </c>
      <c r="P15" s="34"/>
      <c r="Q15" s="36" t="str">
        <f>TEXT(calc!I5,"0.0%")&amp;" – "&amp;TEXT(calc!J5,"0.0%")</f>
        <v>38.6% – 40.2%</v>
      </c>
      <c r="S15" s="27">
        <f>calc!K5</f>
        <v>0.46199041851215766</v>
      </c>
    </row>
    <row r="16" spans="2:19" x14ac:dyDescent="0.3">
      <c r="K16" s="32" t="str">
        <f>calc!C5&amp;" → "&amp;LOWER(calc!C6)</f>
        <v>Began checkout → added shipping info</v>
      </c>
      <c r="L16" s="25"/>
      <c r="M16" s="25"/>
      <c r="O16" s="26">
        <f>calc!H6</f>
        <v>0.99981921721052158</v>
      </c>
      <c r="P16" s="34"/>
      <c r="Q16" s="36" t="str">
        <f>TEXT(calc!I6,"0.0%")&amp;" – "&amp;TEXT(calc!J6,"0.0%")</f>
        <v>99.9% – 100.0%</v>
      </c>
      <c r="S16" s="27">
        <f>calc!K6</f>
        <v>9.0399566082082806E-5</v>
      </c>
    </row>
    <row r="17" spans="11:19" x14ac:dyDescent="0.3">
      <c r="K17" s="32" t="str">
        <f>calc!C6&amp;" → "&amp;LOWER(calc!C7)</f>
        <v>Added shipping info → added payment info</v>
      </c>
      <c r="L17" s="25"/>
      <c r="M17" s="25"/>
      <c r="O17" s="26">
        <f>calc!H7</f>
        <v>0.61318025673476773</v>
      </c>
      <c r="P17" s="34"/>
      <c r="Q17" s="36" t="str">
        <f>TEXT(calc!I7,"0.0%")&amp;" – "&amp;TEXT(calc!J7,"0.0%")</f>
        <v>60.4% – 62.2%</v>
      </c>
      <c r="S17" s="27">
        <f>calc!K7</f>
        <v>4.4208664898320068E-4</v>
      </c>
    </row>
    <row r="18" spans="11:19" x14ac:dyDescent="0.3">
      <c r="K18" s="33" t="str">
        <f>calc!C7&amp;" → "&amp;LOWER(calc!C8)</f>
        <v>Added payment info → purchased</v>
      </c>
      <c r="L18" s="25"/>
      <c r="M18" s="25"/>
      <c r="O18" s="26">
        <f>calc!H8</f>
        <v>0.71323312702623043</v>
      </c>
      <c r="P18" s="34"/>
      <c r="Q18" s="36" t="str">
        <f>TEXT(calc!I8,"0.0%")&amp;" – "&amp;TEXT(calc!J8,"0.0%")</f>
        <v>70.2% – 72.4%</v>
      </c>
      <c r="S18" s="27">
        <f>calc!K8</f>
        <v>6.1945075366508359E-4</v>
      </c>
    </row>
    <row r="19" spans="11:19" x14ac:dyDescent="0.3">
      <c r="K19" s="24"/>
    </row>
    <row r="36" spans="2:2" x14ac:dyDescent="0.3">
      <c r="B36" s="37" t="s">
        <v>152</v>
      </c>
    </row>
  </sheetData>
  <mergeCells count="9">
    <mergeCell ref="B8:E8"/>
    <mergeCell ref="B6:E7"/>
    <mergeCell ref="G6:J7"/>
    <mergeCell ref="L6:O7"/>
    <mergeCell ref="G8:J8"/>
    <mergeCell ref="L8:O8"/>
    <mergeCell ref="B5:E5"/>
    <mergeCell ref="G5:J5"/>
    <mergeCell ref="L5:O5"/>
  </mergeCells>
  <pageMargins left="0.25" right="0.25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AF05-33B1-4EA3-A25E-4E442E5CB44E}">
  <sheetPr>
    <pageSetUpPr fitToPage="1"/>
  </sheetPr>
  <dimension ref="B2:T36"/>
  <sheetViews>
    <sheetView showGridLines="0" zoomScaleNormal="100" workbookViewId="0">
      <selection sqref="A1:U37"/>
    </sheetView>
  </sheetViews>
  <sheetFormatPr defaultRowHeight="16.5" x14ac:dyDescent="0.3"/>
  <cols>
    <col min="1" max="1" width="2.625" style="7" customWidth="1"/>
    <col min="2" max="20" width="9.625" style="7" customWidth="1"/>
    <col min="21" max="16384" width="9" style="7"/>
  </cols>
  <sheetData>
    <row r="2" spans="2:20" ht="25.5" x14ac:dyDescent="0.35">
      <c r="B2" s="9" t="s">
        <v>159</v>
      </c>
    </row>
    <row r="3" spans="2:20" x14ac:dyDescent="0.3">
      <c r="B3" s="8" t="s">
        <v>139</v>
      </c>
    </row>
    <row r="4" spans="2:20" x14ac:dyDescent="0.3">
      <c r="C4" s="39"/>
    </row>
    <row r="5" spans="2:20" x14ac:dyDescent="0.3">
      <c r="B5" s="23" t="s">
        <v>154</v>
      </c>
      <c r="C5" s="38" t="s">
        <v>24</v>
      </c>
    </row>
    <row r="7" spans="2:20" x14ac:dyDescent="0.3">
      <c r="B7" s="41" t="str">
        <f>"Segments whose """&amp;LOWER(_xlfn.XLOOKUP($C$5,calc!$B$2:$B$8,calc!$C$2:$C$8))&amp;""" rate differs from the rest of sessions"</f>
        <v>Segments whose "purchased" rate differs from the rest of sessions</v>
      </c>
    </row>
    <row r="9" spans="2:20" x14ac:dyDescent="0.3">
      <c r="K9" s="42" t="s">
        <v>160</v>
      </c>
    </row>
    <row r="10" spans="2:20" x14ac:dyDescent="0.3">
      <c r="K10" s="31" t="s">
        <v>161</v>
      </c>
      <c r="L10" s="31" t="s">
        <v>162</v>
      </c>
      <c r="M10" s="31"/>
      <c r="N10" s="31" t="s">
        <v>140</v>
      </c>
      <c r="O10" s="31" t="s">
        <v>163</v>
      </c>
      <c r="P10" s="43" t="s">
        <v>148</v>
      </c>
      <c r="Q10" s="43"/>
      <c r="R10" s="31" t="s">
        <v>164</v>
      </c>
      <c r="S10" s="43" t="s">
        <v>148</v>
      </c>
      <c r="T10" s="43"/>
    </row>
    <row r="11" spans="2:20" x14ac:dyDescent="0.3">
      <c r="K11" s="32" t="str">
        <f>calc!AD2</f>
        <v>Device</v>
      </c>
      <c r="L11" s="32" t="str">
        <f>calc!AE2</f>
        <v>desktop</v>
      </c>
      <c r="M11" s="32"/>
      <c r="N11" s="44">
        <f>calc!T2</f>
        <v>206354</v>
      </c>
      <c r="O11" s="45">
        <f>calc!U2</f>
        <v>1.3268460994213827E-2</v>
      </c>
      <c r="P11" s="46" t="str">
        <f>TEXT(calc!V2,"0.00%")&amp;" – "&amp;TEXT(calc!W2,"0.00%")</f>
        <v>1.28% – 1.38%</v>
      </c>
      <c r="Q11" s="46"/>
      <c r="R11" s="47">
        <f>calc!X2*100</f>
        <v>-8.3652567138072648E-2</v>
      </c>
      <c r="S11" s="46" t="str">
        <f>TEXT(calc!Y2*100,"+0.00;-0.00")&amp;" to "&amp;TEXT(calc!Z2*100,"+0.00;-0.00")</f>
        <v>-0.16 to -0.01</v>
      </c>
      <c r="T11" s="46"/>
    </row>
    <row r="12" spans="2:20" x14ac:dyDescent="0.3">
      <c r="K12" s="32" t="str">
        <f>calc!AD3</f>
        <v/>
      </c>
      <c r="L12" s="32" t="str">
        <f>calc!AE3</f>
        <v>mobile</v>
      </c>
      <c r="M12" s="32"/>
      <c r="N12" s="44">
        <f>calc!T3</f>
        <v>141352</v>
      </c>
      <c r="O12" s="45">
        <f>calc!U3</f>
        <v>1.4177372799818892E-2</v>
      </c>
      <c r="P12" s="46" t="str">
        <f>TEXT(calc!V3,"0.00%")&amp;" – "&amp;TEXT(calc!W3,"0.00%")</f>
        <v>1.36% – 1.48%</v>
      </c>
      <c r="Q12" s="46"/>
      <c r="R12" s="47">
        <f>calc!X3*100</f>
        <v>9.2587914783980388E-2</v>
      </c>
      <c r="S12" s="46" t="str">
        <f>TEXT(calc!Y3*100,"+0.00;-0.00")&amp;" to "&amp;TEXT(calc!Z3*100,"+0.00;-0.00")</f>
        <v>+0.01 to +0.17</v>
      </c>
      <c r="T12" s="46"/>
    </row>
    <row r="13" spans="2:20" x14ac:dyDescent="0.3">
      <c r="K13" s="32" t="str">
        <f>calc!AD4</f>
        <v/>
      </c>
      <c r="L13" s="32" t="str">
        <f>calc!AE4</f>
        <v>tablet</v>
      </c>
      <c r="M13" s="32"/>
      <c r="N13" s="44">
        <f>calc!T4</f>
        <v>7886</v>
      </c>
      <c r="O13" s="45">
        <f>calc!U4</f>
        <v>1.2807506974384986E-2</v>
      </c>
      <c r="P13" s="46" t="str">
        <f>TEXT(calc!V4,"0.00%")&amp;" – "&amp;TEXT(calc!W4,"0.00%")</f>
        <v>1.06% – 1.55%</v>
      </c>
      <c r="Q13" s="46"/>
      <c r="R13" s="47">
        <f>calc!X4*100</f>
        <v>-8.3045153078892611E-2</v>
      </c>
      <c r="S13" s="46" t="str">
        <f>TEXT(calc!Y4*100,"+0.00;-0.00")&amp;" to "&amp;TEXT(calc!Z4*100,"+0.00;-0.00")</f>
        <v>-0.31 to +0.19</v>
      </c>
      <c r="T13" s="46"/>
    </row>
    <row r="14" spans="2:20" x14ac:dyDescent="0.3">
      <c r="K14" s="32" t="str">
        <f>calc!AD5</f>
        <v>Continent</v>
      </c>
      <c r="L14" s="32" t="str">
        <f>calc!AE5</f>
        <v>americas</v>
      </c>
      <c r="M14" s="32"/>
      <c r="N14" s="44">
        <f>calc!T5</f>
        <v>196608</v>
      </c>
      <c r="O14" s="45">
        <f>calc!U5</f>
        <v>1.38092041015625E-2</v>
      </c>
      <c r="P14" s="46" t="str">
        <f>TEXT(calc!V5,"0.00%")&amp;" – "&amp;TEXT(calc!W5,"0.00%")</f>
        <v>1.33% – 1.43%</v>
      </c>
      <c r="Q14" s="46"/>
      <c r="R14" s="47">
        <f>calc!X5*100</f>
        <v>4.2420938511304566E-2</v>
      </c>
      <c r="S14" s="46" t="str">
        <f>TEXT(calc!Y5*100,"+0.00;-0.00")&amp;" to "&amp;TEXT(calc!Z5*100,"+0.00;-0.00")</f>
        <v>-0.03 to +0.12</v>
      </c>
      <c r="T14" s="46"/>
    </row>
    <row r="15" spans="2:20" x14ac:dyDescent="0.3">
      <c r="K15" s="32" t="str">
        <f>calc!AD6</f>
        <v/>
      </c>
      <c r="L15" s="32" t="str">
        <f>calc!AE6</f>
        <v>asia</v>
      </c>
      <c r="M15" s="32"/>
      <c r="N15" s="44">
        <f>calc!T6</f>
        <v>84481</v>
      </c>
      <c r="O15" s="45">
        <f>calc!U6</f>
        <v>1.3316603733383838E-2</v>
      </c>
      <c r="P15" s="46" t="str">
        <f>TEXT(calc!V6,"0.00%")&amp;" – "&amp;TEXT(calc!W6,"0.00%")</f>
        <v>1.26% – 1.41%</v>
      </c>
      <c r="Q15" s="46"/>
      <c r="R15" s="47">
        <f>calc!X6*100</f>
        <v>-3.9733631331290327E-2</v>
      </c>
      <c r="S15" s="46" t="str">
        <f>TEXT(calc!Y6*100,"+0.00;-0.00")&amp;" to "&amp;TEXT(calc!Z6*100,"+0.00;-0.00")</f>
        <v>-0.13 to +0.05</v>
      </c>
      <c r="T15" s="46"/>
    </row>
    <row r="16" spans="2:20" x14ac:dyDescent="0.3">
      <c r="K16" s="32" t="str">
        <f>calc!AD7</f>
        <v/>
      </c>
      <c r="L16" s="32" t="str">
        <f>calc!AE7</f>
        <v>europe</v>
      </c>
      <c r="M16" s="32"/>
      <c r="N16" s="44">
        <f>calc!T7</f>
        <v>66291</v>
      </c>
      <c r="O16" s="45">
        <f>calc!U7</f>
        <v>1.3546333589778402E-2</v>
      </c>
      <c r="P16" s="46" t="str">
        <f>TEXT(calc!V7,"0.00%")&amp;" – "&amp;TEXT(calc!W7,"0.00%")</f>
        <v>1.27% – 1.45%</v>
      </c>
      <c r="Q16" s="46"/>
      <c r="R16" s="47">
        <f>calc!X7*100</f>
        <v>-8.9982911028714876E-3</v>
      </c>
      <c r="S16" s="46" t="str">
        <f>TEXT(calc!Y7*100,"+0.00;-0.00")&amp;" to "&amp;TEXT(calc!Z7*100,"+0.00;-0.00")</f>
        <v>-0.10 to +0.09</v>
      </c>
      <c r="T16" s="46"/>
    </row>
    <row r="17" spans="11:20" x14ac:dyDescent="0.3">
      <c r="K17" s="32" t="str">
        <f>calc!AD8</f>
        <v/>
      </c>
      <c r="L17" s="32" t="str">
        <f>calc!AE8</f>
        <v>oceania</v>
      </c>
      <c r="M17" s="32"/>
      <c r="N17" s="44">
        <f>calc!T8</f>
        <v>3745</v>
      </c>
      <c r="O17" s="45">
        <f>calc!U8</f>
        <v>1.3618157543391188E-2</v>
      </c>
      <c r="P17" s="46" t="str">
        <f>TEXT(calc!V8,"0.00%")&amp;" – "&amp;TEXT(calc!W8,"0.00%")</f>
        <v>1.04% – 1.79%</v>
      </c>
      <c r="Q17" s="46"/>
      <c r="R17" s="47">
        <f>calc!X8*100</f>
        <v>-1.3986841736340905E-4</v>
      </c>
      <c r="S17" s="46" t="str">
        <f>TEXT(calc!Y8*100,"+0.00;-0.00")&amp;" to "&amp;TEXT(calc!Z8*100,"+0.00;-0.00")</f>
        <v>-0.33 to +0.43</v>
      </c>
      <c r="T17" s="46"/>
    </row>
    <row r="18" spans="11:20" x14ac:dyDescent="0.3">
      <c r="K18" s="32" t="str">
        <f>calc!AD9</f>
        <v/>
      </c>
      <c r="L18" s="32" t="str">
        <f>calc!AE9</f>
        <v>africa</v>
      </c>
      <c r="M18" s="32"/>
      <c r="N18" s="44">
        <f>calc!T9</f>
        <v>3664</v>
      </c>
      <c r="O18" s="45">
        <f>calc!U9</f>
        <v>1.1735807860262008E-2</v>
      </c>
      <c r="P18" s="46" t="str">
        <f>TEXT(calc!V9,"0.00%")&amp;" – "&amp;TEXT(calc!W9,"0.00%")</f>
        <v>0.87% – 1.58%</v>
      </c>
      <c r="Q18" s="46"/>
      <c r="R18" s="47">
        <f>calc!X9*100</f>
        <v>-0.19033456029463758</v>
      </c>
      <c r="S18" s="46" t="str">
        <f>TEXT(calc!Y9*100,"+0.00;-0.00")&amp;" to "&amp;TEXT(calc!Z9*100,"+0.00;-0.00")</f>
        <v>-0.49 to +0.21</v>
      </c>
      <c r="T18" s="46"/>
    </row>
    <row r="19" spans="11:20" x14ac:dyDescent="0.3">
      <c r="K19" s="32" t="str">
        <f>calc!AD10</f>
        <v/>
      </c>
      <c r="L19" s="32" t="str">
        <f>calc!AE10</f>
        <v>unknown</v>
      </c>
      <c r="M19" s="32"/>
      <c r="N19" s="44">
        <f>calc!T10</f>
        <v>803</v>
      </c>
      <c r="O19" s="45">
        <f>calc!U10</f>
        <v>1.3698630136986301E-2</v>
      </c>
      <c r="P19" s="46" t="str">
        <f>TEXT(calc!V10,"0.00%")&amp;" – "&amp;TEXT(calc!W10,"0.00%")</f>
        <v>0.77% – 2.44%</v>
      </c>
      <c r="Q19" s="46"/>
      <c r="R19" s="47">
        <f>calc!X10*100</f>
        <v>7.9267642658685869E-3</v>
      </c>
      <c r="S19" s="46" t="str">
        <f>TEXT(calc!Y10*100,"+0.00;-0.00")&amp;" to "&amp;TEXT(calc!Z10*100,"+0.00;-0.00")</f>
        <v>-0.60 to +1.07</v>
      </c>
      <c r="T19" s="46"/>
    </row>
    <row r="20" spans="11:20" x14ac:dyDescent="0.3">
      <c r="K20" s="32" t="str">
        <f>calc!AD11</f>
        <v>Channel</v>
      </c>
      <c r="L20" s="32" t="str">
        <f>calc!AE11</f>
        <v>organic</v>
      </c>
      <c r="M20" s="32"/>
      <c r="N20" s="44">
        <f>calc!T11</f>
        <v>121780</v>
      </c>
      <c r="O20" s="45">
        <f>calc!U11</f>
        <v>1.1151256363934966E-2</v>
      </c>
      <c r="P20" s="46" t="str">
        <f>TEXT(calc!V11,"0.00%")&amp;" – "&amp;TEXT(calc!W11,"0.00%")</f>
        <v>1.06% – 1.18%</v>
      </c>
      <c r="Q20" s="46"/>
      <c r="R20" s="47">
        <f>calc!X11*100</f>
        <v>-0.37538810969310299</v>
      </c>
      <c r="S20" s="46" t="str">
        <f>TEXT(calc!Y11*100,"+0.00;-0.00")&amp;" to "&amp;TEXT(calc!Z11*100,"+0.00;-0.00")</f>
        <v>-0.45 to -0.30</v>
      </c>
      <c r="T20" s="46"/>
    </row>
    <row r="21" spans="11:20" x14ac:dyDescent="0.3">
      <c r="K21" s="32" t="str">
        <f>calc!AD12</f>
        <v/>
      </c>
      <c r="L21" s="32" t="str">
        <f>calc!AE12</f>
        <v>direct</v>
      </c>
      <c r="M21" s="32"/>
      <c r="N21" s="44">
        <f>calc!T12</f>
        <v>82493</v>
      </c>
      <c r="O21" s="45">
        <f>calc!U12</f>
        <v>1.305565320693877E-2</v>
      </c>
      <c r="P21" s="46" t="str">
        <f>TEXT(calc!V12,"0.00%")&amp;" – "&amp;TEXT(calc!W12,"0.00%")</f>
        <v>1.23% – 1.39%</v>
      </c>
      <c r="Q21" s="46"/>
      <c r="R21" s="47">
        <f>calc!X12*100</f>
        <v>-7.342178654562212E-2</v>
      </c>
      <c r="S21" s="46" t="str">
        <f>TEXT(calc!Y12*100,"+0.00;-0.00")&amp;" to "&amp;TEXT(calc!Z12*100,"+0.00;-0.00")</f>
        <v>-0.16 to +0.02</v>
      </c>
      <c r="T21" s="46"/>
    </row>
    <row r="22" spans="11:20" x14ac:dyDescent="0.3">
      <c r="K22" s="32" t="str">
        <f>calc!AD13</f>
        <v/>
      </c>
      <c r="L22" s="32" t="str">
        <f>calc!AE13</f>
        <v>referral</v>
      </c>
      <c r="M22" s="32"/>
      <c r="N22" s="44">
        <f>calc!T13</f>
        <v>62331</v>
      </c>
      <c r="O22" s="45">
        <f>calc!U13</f>
        <v>1.68455503681956E-2</v>
      </c>
      <c r="P22" s="46" t="str">
        <f>TEXT(calc!V13,"0.00%")&amp;" – "&amp;TEXT(calc!W13,"0.00%")</f>
        <v>1.59% – 1.79%</v>
      </c>
      <c r="Q22" s="46"/>
      <c r="R22" s="47">
        <f>calc!X13*100</f>
        <v>0.39116791749581759</v>
      </c>
      <c r="S22" s="46" t="str">
        <f>TEXT(calc!Y13*100,"+0.00;-0.00")&amp;" to "&amp;TEXT(calc!Z13*100,"+0.00;-0.00")</f>
        <v>+0.28 to +0.50</v>
      </c>
      <c r="T22" s="46"/>
    </row>
    <row r="23" spans="11:20" x14ac:dyDescent="0.3">
      <c r="K23" s="32" t="str">
        <f>calc!AD14</f>
        <v/>
      </c>
      <c r="L23" s="32" t="str">
        <f>calc!AE14</f>
        <v>other</v>
      </c>
      <c r="M23" s="32"/>
      <c r="N23" s="44">
        <f>calc!T14</f>
        <v>51789</v>
      </c>
      <c r="O23" s="45">
        <f>calc!U14</f>
        <v>9.9248875243777637E-3</v>
      </c>
      <c r="P23" s="46" t="str">
        <f>TEXT(calc!V14,"0.00%")&amp;" – "&amp;TEXT(calc!W14,"0.00%")</f>
        <v>0.91% – 1.08%</v>
      </c>
      <c r="Q23" s="46"/>
      <c r="R23" s="47">
        <f>calc!X14*100</f>
        <v>-0.43244780184246451</v>
      </c>
      <c r="S23" s="46" t="str">
        <f>TEXT(calc!Y14*100,"+0.00;-0.00")&amp;" to "&amp;TEXT(calc!Z14*100,"+0.00;-0.00")</f>
        <v>-0.52 to -0.33</v>
      </c>
      <c r="T23" s="46"/>
    </row>
    <row r="24" spans="11:20" x14ac:dyDescent="0.3">
      <c r="K24" s="32" t="str">
        <f>calc!AD15</f>
        <v/>
      </c>
      <c r="L24" s="32" t="str">
        <f>calc!AE15</f>
        <v>cpc</v>
      </c>
      <c r="M24" s="32"/>
      <c r="N24" s="44">
        <f>calc!T15</f>
        <v>15548</v>
      </c>
      <c r="O24" s="45">
        <f>calc!U15</f>
        <v>9.7761770002572686E-3</v>
      </c>
      <c r="P24" s="46" t="str">
        <f>TEXT(calc!V15,"0.00%")&amp;" – "&amp;TEXT(calc!W15,"0.00%")</f>
        <v>0.83% – 1.14%</v>
      </c>
      <c r="Q24" s="46"/>
      <c r="R24" s="47">
        <f>calc!X15*100</f>
        <v>-0.40190965525770705</v>
      </c>
      <c r="S24" s="46" t="str">
        <f>TEXT(calc!Y15*100,"+0.00;-0.00")&amp;" to "&amp;TEXT(calc!Z15*100,"+0.00;-0.00")</f>
        <v>-0.55 to -0.23</v>
      </c>
      <c r="T24" s="46"/>
    </row>
    <row r="25" spans="11:20" x14ac:dyDescent="0.3">
      <c r="K25" s="33" t="str">
        <f>calc!AD16</f>
        <v/>
      </c>
      <c r="L25" s="33" t="str">
        <f>calc!AE16</f>
        <v>unknown</v>
      </c>
      <c r="M25" s="33"/>
      <c r="N25" s="48">
        <f>calc!T16</f>
        <v>21651</v>
      </c>
      <c r="O25" s="49">
        <f>calc!U16</f>
        <v>3.1961572213754563E-2</v>
      </c>
      <c r="P25" s="50" t="str">
        <f>TEXT(calc!V16,"0.00%")&amp;" – "&amp;TEXT(calc!W16,"0.00%")</f>
        <v>2.97% – 3.44%</v>
      </c>
      <c r="Q25" s="50"/>
      <c r="R25" s="51">
        <f>calc!X16*100</f>
        <v>1.9531232722646854</v>
      </c>
      <c r="S25" s="50" t="str">
        <f>TEXT(calc!Y16*100,"+0.00;-0.00")&amp;" to "&amp;TEXT(calc!Z16*100,"+0.00;-0.00")</f>
        <v>+1.72 to +2.20</v>
      </c>
      <c r="T25" s="50"/>
    </row>
    <row r="36" spans="2:2" x14ac:dyDescent="0.3">
      <c r="B36" s="37" t="s">
        <v>165</v>
      </c>
    </row>
  </sheetData>
  <dataValidations count="1">
    <dataValidation type="list" allowBlank="1" showInputMessage="1" showErrorMessage="1" sqref="D5" xr:uid="{92DB57DE-3C4C-4867-BB83-C9EB08AADC90}">
      <formula1>"calc!$P$2:$P$8"</formula1>
    </dataValidation>
  </dataValidations>
  <pageMargins left="0.25" right="0.25" top="0.75" bottom="0.75" header="0.3" footer="0.3"/>
  <pageSetup paperSize="9" scale="6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6C9B6AA-85E3-4F40-953A-BF2DC9556641}">
            <xm:f>OR(calc!$Y2&gt;0,calc!$Z2&lt;0)</xm:f>
            <x14:dxf>
              <font>
                <b/>
                <i val="0"/>
              </font>
            </x14:dxf>
          </x14:cfRule>
          <xm:sqref>K11:T25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45DAB2-8CD9-489B-A8C6-54E4547FCD11}">
          <x14:formula1>
            <xm:f>calc!$P$2:$P$8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5B8F-483D-412F-BC1F-B2162CF0FACB}">
  <sheetPr>
    <pageSetUpPr fitToPage="1"/>
  </sheetPr>
  <dimension ref="B2:B36"/>
  <sheetViews>
    <sheetView showGridLines="0" tabSelected="1" workbookViewId="0">
      <selection activeCell="S16" sqref="S16"/>
    </sheetView>
  </sheetViews>
  <sheetFormatPr defaultRowHeight="16.5" x14ac:dyDescent="0.3"/>
  <cols>
    <col min="1" max="1" width="2.625" style="7" customWidth="1"/>
    <col min="2" max="21" width="9.625" style="7" customWidth="1"/>
    <col min="22" max="16384" width="9" style="7"/>
  </cols>
  <sheetData>
    <row r="2" spans="2:2" ht="25.5" x14ac:dyDescent="0.35">
      <c r="B2" s="9" t="s">
        <v>166</v>
      </c>
    </row>
    <row r="3" spans="2:2" x14ac:dyDescent="0.3">
      <c r="B3" s="8" t="s">
        <v>139</v>
      </c>
    </row>
    <row r="36" spans="2:2" x14ac:dyDescent="0.3">
      <c r="B36" s="37" t="s">
        <v>172</v>
      </c>
    </row>
  </sheetData>
  <pageMargins left="0.7" right="0.7" top="0.75" bottom="0.75" header="0.3" footer="0.3"/>
  <pageSetup paperSize="9" scale="6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9AD9-0535-4FA2-A2EA-450E973A35D4}">
  <dimension ref="A1:R36"/>
  <sheetViews>
    <sheetView topLeftCell="I1" workbookViewId="0">
      <selection activeCell="R3" sqref="R3"/>
    </sheetView>
  </sheetViews>
  <sheetFormatPr defaultRowHeight="15" x14ac:dyDescent="0.3"/>
  <cols>
    <col min="1" max="1" width="27" bestFit="1" customWidth="1"/>
    <col min="2" max="2" width="15" bestFit="1" customWidth="1"/>
    <col min="3" max="3" width="17.375" bestFit="1" customWidth="1"/>
    <col min="4" max="4" width="28" bestFit="1" customWidth="1"/>
    <col min="5" max="5" width="31.5" bestFit="1" customWidth="1"/>
    <col min="6" max="6" width="20.375" bestFit="1" customWidth="1"/>
    <col min="7" max="7" width="17.375" bestFit="1" customWidth="1"/>
    <col min="8" max="8" width="21.375" bestFit="1" customWidth="1"/>
    <col min="9" max="9" width="18.25" bestFit="1" customWidth="1"/>
    <col min="10" max="10" width="24.125" bestFit="1" customWidth="1"/>
    <col min="11" max="11" width="24.375" bestFit="1" customWidth="1"/>
    <col min="12" max="12" width="22.875" bestFit="1" customWidth="1"/>
    <col min="13" max="13" width="28.75" bestFit="1" customWidth="1"/>
    <col min="14" max="14" width="29" bestFit="1" customWidth="1"/>
    <col min="15" max="15" width="12.375" bestFit="1" customWidth="1"/>
    <col min="16" max="16" width="17.375" bestFit="1" customWidth="1"/>
    <col min="17" max="17" width="15.875" bestFit="1" customWidth="1"/>
    <col min="18" max="18" width="14" bestFit="1" customWidth="1"/>
  </cols>
  <sheetData>
    <row r="1" spans="1:18" ht="16.5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123</v>
      </c>
      <c r="Q1" t="s">
        <v>131</v>
      </c>
      <c r="R1" t="s">
        <v>132</v>
      </c>
    </row>
    <row r="2" spans="1:18" ht="16.5" x14ac:dyDescent="0.3">
      <c r="A2" s="1" t="s">
        <v>89</v>
      </c>
      <c r="B2">
        <v>34</v>
      </c>
      <c r="C2">
        <v>26</v>
      </c>
      <c r="D2">
        <v>3</v>
      </c>
      <c r="E2">
        <v>1</v>
      </c>
      <c r="F2">
        <v>2</v>
      </c>
      <c r="G2">
        <v>2</v>
      </c>
      <c r="H2">
        <v>104</v>
      </c>
      <c r="I2">
        <v>0.11538461538461539</v>
      </c>
      <c r="J2">
        <v>4.0032445923591807E-2</v>
      </c>
      <c r="K2">
        <v>0.28975903379070661</v>
      </c>
      <c r="L2">
        <v>3.8461538461538464E-2</v>
      </c>
      <c r="M2">
        <v>6.8219849179855449E-3</v>
      </c>
      <c r="N2">
        <v>0.18892779073917257</v>
      </c>
      <c r="O2">
        <v>1</v>
      </c>
      <c r="Q2">
        <f>tProduct[[#This Row],[view_to_purchase_rate]]-tProduct[[#This Row],[view_to_purchase_rate_lower]]</f>
        <v>3.1639553543552919E-2</v>
      </c>
      <c r="R2">
        <f>tProduct[[#This Row],[view_to_purchase_rate_upper]]-tProduct[[#This Row],[view_to_purchase_rate]]</f>
        <v>0.1504662522776341</v>
      </c>
    </row>
    <row r="3" spans="1:18" ht="16.5" x14ac:dyDescent="0.3">
      <c r="A3" s="1" t="s">
        <v>90</v>
      </c>
      <c r="B3">
        <v>16</v>
      </c>
      <c r="C3">
        <v>5666</v>
      </c>
      <c r="D3">
        <v>1526</v>
      </c>
      <c r="E3">
        <v>306</v>
      </c>
      <c r="F3">
        <v>332</v>
      </c>
      <c r="G3">
        <v>791</v>
      </c>
      <c r="H3">
        <v>8253</v>
      </c>
      <c r="I3">
        <v>0.26932580303565123</v>
      </c>
      <c r="J3">
        <v>0.25793418345381902</v>
      </c>
      <c r="K3">
        <v>0.28102999765120923</v>
      </c>
      <c r="L3">
        <v>5.4006353688669254E-2</v>
      </c>
      <c r="M3">
        <v>4.841736002285197E-2</v>
      </c>
      <c r="N3">
        <v>6.0199690973633271E-2</v>
      </c>
      <c r="O3">
        <v>0</v>
      </c>
      <c r="Q3">
        <f>tProduct[[#This Row],[view_to_purchase_rate]]-tProduct[[#This Row],[view_to_purchase_rate_lower]]</f>
        <v>5.5889936658172837E-3</v>
      </c>
      <c r="R3">
        <f>tProduct[[#This Row],[view_to_purchase_rate_upper]]-tProduct[[#This Row],[view_to_purchase_rate]]</f>
        <v>6.1933372849640178E-3</v>
      </c>
    </row>
    <row r="4" spans="1:18" ht="16.5" x14ac:dyDescent="0.3">
      <c r="A4" s="1" t="s">
        <v>91</v>
      </c>
      <c r="B4">
        <v>4</v>
      </c>
      <c r="C4">
        <v>18021</v>
      </c>
      <c r="D4">
        <v>4834</v>
      </c>
      <c r="E4">
        <v>237</v>
      </c>
      <c r="F4">
        <v>252</v>
      </c>
      <c r="G4">
        <v>619</v>
      </c>
      <c r="H4">
        <v>6151</v>
      </c>
      <c r="I4">
        <v>0.26824260584873205</v>
      </c>
      <c r="J4">
        <v>0.2618239614224217</v>
      </c>
      <c r="K4">
        <v>0.27476003466680532</v>
      </c>
      <c r="L4">
        <v>1.3151323455968037E-2</v>
      </c>
      <c r="M4">
        <v>1.1588731968162352E-2</v>
      </c>
      <c r="N4">
        <v>1.4921429575913336E-2</v>
      </c>
      <c r="O4">
        <v>0</v>
      </c>
      <c r="Q4">
        <f>tProduct[[#This Row],[view_to_purchase_rate]]-tProduct[[#This Row],[view_to_purchase_rate_lower]]</f>
        <v>1.5625914878056851E-3</v>
      </c>
      <c r="R4">
        <f>tProduct[[#This Row],[view_to_purchase_rate_upper]]-tProduct[[#This Row],[view_to_purchase_rate]]</f>
        <v>1.7701061199452989E-3</v>
      </c>
    </row>
    <row r="5" spans="1:18" ht="16.5" x14ac:dyDescent="0.3">
      <c r="A5" s="1" t="s">
        <v>92</v>
      </c>
      <c r="B5">
        <v>29</v>
      </c>
      <c r="C5">
        <v>206</v>
      </c>
      <c r="D5">
        <v>71</v>
      </c>
      <c r="E5">
        <v>7</v>
      </c>
      <c r="F5">
        <v>8</v>
      </c>
      <c r="G5">
        <v>9</v>
      </c>
      <c r="H5">
        <v>134</v>
      </c>
      <c r="I5">
        <v>0.3446601941747573</v>
      </c>
      <c r="J5">
        <v>0.28313806274364162</v>
      </c>
      <c r="K5">
        <v>0.41186977631163396</v>
      </c>
      <c r="L5">
        <v>3.3980582524271843E-2</v>
      </c>
      <c r="M5">
        <v>1.6555877601821534E-2</v>
      </c>
      <c r="N5">
        <v>6.8467639564005228E-2</v>
      </c>
      <c r="O5">
        <v>0</v>
      </c>
      <c r="Q5">
        <f>tProduct[[#This Row],[view_to_purchase_rate]]-tProduct[[#This Row],[view_to_purchase_rate_lower]]</f>
        <v>1.742470492245031E-2</v>
      </c>
      <c r="R5">
        <f>tProduct[[#This Row],[view_to_purchase_rate_upper]]-tProduct[[#This Row],[view_to_purchase_rate]]</f>
        <v>3.4487057039733385E-2</v>
      </c>
    </row>
    <row r="6" spans="1:18" ht="16.5" x14ac:dyDescent="0.3">
      <c r="A6" s="1" t="s">
        <v>93</v>
      </c>
      <c r="B6">
        <v>5</v>
      </c>
      <c r="C6">
        <v>17171</v>
      </c>
      <c r="D6">
        <v>3693</v>
      </c>
      <c r="E6">
        <v>297</v>
      </c>
      <c r="F6">
        <v>319</v>
      </c>
      <c r="G6">
        <v>486</v>
      </c>
      <c r="H6">
        <v>8519</v>
      </c>
      <c r="I6">
        <v>0.21507192359210298</v>
      </c>
      <c r="J6">
        <v>0.20899051152762205</v>
      </c>
      <c r="K6">
        <v>0.22128079412451426</v>
      </c>
      <c r="L6">
        <v>1.729660474055093E-2</v>
      </c>
      <c r="M6">
        <v>1.5451768205002056E-2</v>
      </c>
      <c r="N6">
        <v>1.9357371682117298E-2</v>
      </c>
      <c r="O6">
        <v>0</v>
      </c>
      <c r="Q6">
        <f>tProduct[[#This Row],[view_to_purchase_rate]]-tProduct[[#This Row],[view_to_purchase_rate_lower]]</f>
        <v>1.8448365355488733E-3</v>
      </c>
      <c r="R6">
        <f>tProduct[[#This Row],[view_to_purchase_rate_upper]]-tProduct[[#This Row],[view_to_purchase_rate]]</f>
        <v>2.0607669415663686E-3</v>
      </c>
    </row>
    <row r="7" spans="1:18" ht="16.5" x14ac:dyDescent="0.3">
      <c r="A7" s="1" t="s">
        <v>94</v>
      </c>
      <c r="B7">
        <v>15</v>
      </c>
      <c r="C7">
        <v>5994</v>
      </c>
      <c r="D7">
        <v>1321</v>
      </c>
      <c r="E7">
        <v>377</v>
      </c>
      <c r="F7">
        <v>391</v>
      </c>
      <c r="G7">
        <v>666</v>
      </c>
      <c r="H7">
        <v>13447</v>
      </c>
      <c r="I7">
        <v>0.22038705372038705</v>
      </c>
      <c r="J7">
        <v>0.21007442448684635</v>
      </c>
      <c r="K7">
        <v>0.23105785235309406</v>
      </c>
      <c r="L7">
        <v>6.2896229562896228E-2</v>
      </c>
      <c r="M7">
        <v>5.7025729829744187E-2</v>
      </c>
      <c r="N7">
        <v>6.9326636113360776E-2</v>
      </c>
      <c r="O7">
        <v>0</v>
      </c>
      <c r="Q7">
        <f>tProduct[[#This Row],[view_to_purchase_rate]]-tProduct[[#This Row],[view_to_purchase_rate_lower]]</f>
        <v>5.8704997331520403E-3</v>
      </c>
      <c r="R7">
        <f>tProduct[[#This Row],[view_to_purchase_rate_upper]]-tProduct[[#This Row],[view_to_purchase_rate]]</f>
        <v>6.4304065504645486E-3</v>
      </c>
    </row>
    <row r="8" spans="1:18" ht="16.5" x14ac:dyDescent="0.3">
      <c r="A8" s="1" t="s">
        <v>95</v>
      </c>
      <c r="B8">
        <v>27</v>
      </c>
      <c r="C8">
        <v>309</v>
      </c>
      <c r="D8">
        <v>88</v>
      </c>
      <c r="E8">
        <v>31</v>
      </c>
      <c r="F8">
        <v>41</v>
      </c>
      <c r="G8">
        <v>61</v>
      </c>
      <c r="H8">
        <v>288</v>
      </c>
      <c r="I8">
        <v>0.28478964401294499</v>
      </c>
      <c r="J8">
        <v>0.237351564782914</v>
      </c>
      <c r="K8">
        <v>0.33751296731714475</v>
      </c>
      <c r="L8">
        <v>0.10032362459546926</v>
      </c>
      <c r="M8">
        <v>7.1580256109160509E-2</v>
      </c>
      <c r="N8">
        <v>0.1388824463623772</v>
      </c>
      <c r="O8">
        <v>0</v>
      </c>
      <c r="Q8">
        <f>tProduct[[#This Row],[view_to_purchase_rate]]-tProduct[[#This Row],[view_to_purchase_rate_lower]]</f>
        <v>2.8743368486308749E-2</v>
      </c>
      <c r="R8">
        <f>tProduct[[#This Row],[view_to_purchase_rate_upper]]-tProduct[[#This Row],[view_to_purchase_rate]]</f>
        <v>3.8558821766907947E-2</v>
      </c>
    </row>
    <row r="9" spans="1:18" ht="16.5" x14ac:dyDescent="0.3">
      <c r="A9" s="1" t="s">
        <v>96</v>
      </c>
      <c r="B9">
        <v>9</v>
      </c>
      <c r="C9">
        <v>10314</v>
      </c>
      <c r="D9">
        <v>2362</v>
      </c>
      <c r="E9">
        <v>302</v>
      </c>
      <c r="F9">
        <v>326</v>
      </c>
      <c r="G9">
        <v>530</v>
      </c>
      <c r="H9">
        <v>7749</v>
      </c>
      <c r="I9">
        <v>0.22900911382586775</v>
      </c>
      <c r="J9">
        <v>0.22100154857082546</v>
      </c>
      <c r="K9">
        <v>0.2372184655399466</v>
      </c>
      <c r="L9">
        <v>2.9280589490013574E-2</v>
      </c>
      <c r="M9">
        <v>2.6198078967245898E-2</v>
      </c>
      <c r="N9">
        <v>3.2713609228746283E-2</v>
      </c>
      <c r="O9">
        <v>0</v>
      </c>
      <c r="Q9">
        <f>tProduct[[#This Row],[view_to_purchase_rate]]-tProduct[[#This Row],[view_to_purchase_rate_lower]]</f>
        <v>3.0825105227676765E-3</v>
      </c>
      <c r="R9">
        <f>tProduct[[#This Row],[view_to_purchase_rate_upper]]-tProduct[[#This Row],[view_to_purchase_rate]]</f>
        <v>3.4330197387327094E-3</v>
      </c>
    </row>
    <row r="10" spans="1:18" ht="16.5" x14ac:dyDescent="0.3">
      <c r="A10" s="1" t="s">
        <v>97</v>
      </c>
      <c r="B10">
        <v>2</v>
      </c>
      <c r="C10">
        <v>22236</v>
      </c>
      <c r="D10">
        <v>5615</v>
      </c>
      <c r="E10">
        <v>580</v>
      </c>
      <c r="F10">
        <v>621</v>
      </c>
      <c r="G10">
        <v>1100</v>
      </c>
      <c r="H10">
        <v>15148</v>
      </c>
      <c r="I10">
        <v>0.25251843856808781</v>
      </c>
      <c r="J10">
        <v>0.24685111864771123</v>
      </c>
      <c r="K10">
        <v>0.25827125282473273</v>
      </c>
      <c r="L10">
        <v>2.6083828026623495E-2</v>
      </c>
      <c r="M10">
        <v>2.4069354959820613E-2</v>
      </c>
      <c r="N10">
        <v>2.8262018941072276E-2</v>
      </c>
      <c r="O10">
        <v>0</v>
      </c>
      <c r="Q10">
        <f>tProduct[[#This Row],[view_to_purchase_rate]]-tProduct[[#This Row],[view_to_purchase_rate_lower]]</f>
        <v>2.0144730668028819E-3</v>
      </c>
      <c r="R10">
        <f>tProduct[[#This Row],[view_to_purchase_rate_upper]]-tProduct[[#This Row],[view_to_purchase_rate]]</f>
        <v>2.1781909144487806E-3</v>
      </c>
    </row>
    <row r="11" spans="1:18" ht="16.5" x14ac:dyDescent="0.3">
      <c r="A11" s="1" t="s">
        <v>98</v>
      </c>
      <c r="B11">
        <v>11</v>
      </c>
      <c r="C11">
        <v>9646</v>
      </c>
      <c r="D11">
        <v>2066</v>
      </c>
      <c r="E11">
        <v>305</v>
      </c>
      <c r="F11">
        <v>342</v>
      </c>
      <c r="G11">
        <v>675</v>
      </c>
      <c r="H11">
        <v>6492</v>
      </c>
      <c r="I11">
        <v>0.21418204437072361</v>
      </c>
      <c r="J11">
        <v>0.20610962216605938</v>
      </c>
      <c r="K11">
        <v>0.22248202636044009</v>
      </c>
      <c r="L11">
        <v>3.1619324072154259E-2</v>
      </c>
      <c r="M11">
        <v>2.8309502644766588E-2</v>
      </c>
      <c r="N11">
        <v>3.5302056311608057E-2</v>
      </c>
      <c r="O11">
        <v>0</v>
      </c>
      <c r="Q11">
        <f>tProduct[[#This Row],[view_to_purchase_rate]]-tProduct[[#This Row],[view_to_purchase_rate_lower]]</f>
        <v>3.3098214273876714E-3</v>
      </c>
      <c r="R11">
        <f>tProduct[[#This Row],[view_to_purchase_rate_upper]]-tProduct[[#This Row],[view_to_purchase_rate]]</f>
        <v>3.6827322394537981E-3</v>
      </c>
    </row>
    <row r="12" spans="1:18" ht="16.5" x14ac:dyDescent="0.3">
      <c r="A12" s="1" t="s">
        <v>99</v>
      </c>
      <c r="B12">
        <v>24</v>
      </c>
      <c r="C12">
        <v>2233</v>
      </c>
      <c r="D12">
        <v>225</v>
      </c>
      <c r="E12">
        <v>72</v>
      </c>
      <c r="F12">
        <v>82</v>
      </c>
      <c r="G12">
        <v>140</v>
      </c>
      <c r="H12">
        <v>6834</v>
      </c>
      <c r="I12">
        <v>0.10076130765785939</v>
      </c>
      <c r="J12">
        <v>8.8953852580994544E-2</v>
      </c>
      <c r="K12">
        <v>0.11394003472574121</v>
      </c>
      <c r="L12">
        <v>3.2243618450515002E-2</v>
      </c>
      <c r="M12">
        <v>2.5682570480161065E-2</v>
      </c>
      <c r="N12">
        <v>4.0411277295369467E-2</v>
      </c>
      <c r="O12">
        <v>0</v>
      </c>
      <c r="Q12">
        <f>tProduct[[#This Row],[view_to_purchase_rate]]-tProduct[[#This Row],[view_to_purchase_rate_lower]]</f>
        <v>6.5610479703539365E-3</v>
      </c>
      <c r="R12">
        <f>tProduct[[#This Row],[view_to_purchase_rate_upper]]-tProduct[[#This Row],[view_to_purchase_rate]]</f>
        <v>8.1676588448544654E-3</v>
      </c>
    </row>
    <row r="13" spans="1:18" ht="16.5" x14ac:dyDescent="0.3">
      <c r="A13" s="1" t="s">
        <v>100</v>
      </c>
      <c r="B13">
        <v>22</v>
      </c>
      <c r="C13">
        <v>2512</v>
      </c>
      <c r="D13">
        <v>797</v>
      </c>
      <c r="E13">
        <v>117</v>
      </c>
      <c r="F13">
        <v>131</v>
      </c>
      <c r="G13">
        <v>304</v>
      </c>
      <c r="H13">
        <v>456</v>
      </c>
      <c r="I13">
        <v>0.31727707006369427</v>
      </c>
      <c r="J13">
        <v>0.29936747642995515</v>
      </c>
      <c r="K13">
        <v>0.33574466596704561</v>
      </c>
      <c r="L13">
        <v>4.6576433121019105E-2</v>
      </c>
      <c r="M13">
        <v>3.9005304751039471E-2</v>
      </c>
      <c r="N13">
        <v>5.5532233789666312E-2</v>
      </c>
      <c r="O13">
        <v>0</v>
      </c>
      <c r="Q13">
        <f>tProduct[[#This Row],[view_to_purchase_rate]]-tProduct[[#This Row],[view_to_purchase_rate_lower]]</f>
        <v>7.5711283699796336E-3</v>
      </c>
      <c r="R13">
        <f>tProduct[[#This Row],[view_to_purchase_rate_upper]]-tProduct[[#This Row],[view_to_purchase_rate]]</f>
        <v>8.9558006686472069E-3</v>
      </c>
    </row>
    <row r="14" spans="1:18" ht="16.5" x14ac:dyDescent="0.3">
      <c r="A14" s="1" t="s">
        <v>101</v>
      </c>
      <c r="B14">
        <v>23</v>
      </c>
      <c r="C14">
        <v>2335</v>
      </c>
      <c r="D14">
        <v>580</v>
      </c>
      <c r="E14">
        <v>102</v>
      </c>
      <c r="F14">
        <v>115</v>
      </c>
      <c r="G14">
        <v>211</v>
      </c>
      <c r="H14">
        <v>2089</v>
      </c>
      <c r="I14">
        <v>0.24839400428265523</v>
      </c>
      <c r="J14">
        <v>0.23129128417753797</v>
      </c>
      <c r="K14">
        <v>0.26632323110387807</v>
      </c>
      <c r="L14">
        <v>4.3683083511777299E-2</v>
      </c>
      <c r="M14">
        <v>3.6115393252022517E-2</v>
      </c>
      <c r="N14">
        <v>5.274974042006049E-2</v>
      </c>
      <c r="O14">
        <v>0</v>
      </c>
      <c r="Q14">
        <f>tProduct[[#This Row],[view_to_purchase_rate]]-tProduct[[#This Row],[view_to_purchase_rate_lower]]</f>
        <v>7.5676902597547821E-3</v>
      </c>
      <c r="R14">
        <f>tProduct[[#This Row],[view_to_purchase_rate_upper]]-tProduct[[#This Row],[view_to_purchase_rate]]</f>
        <v>9.066656908283191E-3</v>
      </c>
    </row>
    <row r="15" spans="1:18" ht="16.5" x14ac:dyDescent="0.3">
      <c r="A15" s="1" t="s">
        <v>102</v>
      </c>
      <c r="B15">
        <v>33</v>
      </c>
      <c r="C15">
        <v>52</v>
      </c>
      <c r="D15">
        <v>14</v>
      </c>
      <c r="E15">
        <v>10</v>
      </c>
      <c r="F15">
        <v>11</v>
      </c>
      <c r="G15">
        <v>62</v>
      </c>
      <c r="H15">
        <v>2575</v>
      </c>
      <c r="I15">
        <v>0.26923076923076922</v>
      </c>
      <c r="J15">
        <v>0.16768960230666119</v>
      </c>
      <c r="K15">
        <v>0.4025221994477024</v>
      </c>
      <c r="L15">
        <v>0.19230769230769232</v>
      </c>
      <c r="M15">
        <v>0.10796045975206996</v>
      </c>
      <c r="N15">
        <v>0.31898860925374817</v>
      </c>
      <c r="O15">
        <v>1</v>
      </c>
      <c r="Q15">
        <f>tProduct[[#This Row],[view_to_purchase_rate]]-tProduct[[#This Row],[view_to_purchase_rate_lower]]</f>
        <v>8.4347232555622362E-2</v>
      </c>
      <c r="R15">
        <f>tProduct[[#This Row],[view_to_purchase_rate_upper]]-tProduct[[#This Row],[view_to_purchase_rate]]</f>
        <v>0.12668091694605585</v>
      </c>
    </row>
    <row r="16" spans="1:18" ht="16.5" x14ac:dyDescent="0.3">
      <c r="A16" s="1" t="s">
        <v>103</v>
      </c>
      <c r="B16">
        <v>1</v>
      </c>
      <c r="C16">
        <v>32904</v>
      </c>
      <c r="D16">
        <v>7254</v>
      </c>
      <c r="E16">
        <v>1661</v>
      </c>
      <c r="F16">
        <v>1757</v>
      </c>
      <c r="G16">
        <v>2968</v>
      </c>
      <c r="H16">
        <v>126230</v>
      </c>
      <c r="I16">
        <v>0.22045951859956237</v>
      </c>
      <c r="J16">
        <v>0.21601302024617033</v>
      </c>
      <c r="K16">
        <v>0.22497128062369978</v>
      </c>
      <c r="L16">
        <v>5.0480184779965964E-2</v>
      </c>
      <c r="M16">
        <v>4.8166642743753381E-2</v>
      </c>
      <c r="N16">
        <v>5.2898675169515748E-2</v>
      </c>
      <c r="O16">
        <v>0</v>
      </c>
      <c r="Q16">
        <f>tProduct[[#This Row],[view_to_purchase_rate]]-tProduct[[#This Row],[view_to_purchase_rate_lower]]</f>
        <v>2.3135420362125833E-3</v>
      </c>
      <c r="R16">
        <f>tProduct[[#This Row],[view_to_purchase_rate_upper]]-tProduct[[#This Row],[view_to_purchase_rate]]</f>
        <v>2.4184903895497836E-3</v>
      </c>
    </row>
    <row r="17" spans="1:18" ht="16.5" x14ac:dyDescent="0.3">
      <c r="A17" s="1" t="s">
        <v>104</v>
      </c>
      <c r="B17">
        <v>18</v>
      </c>
      <c r="C17">
        <v>5484</v>
      </c>
      <c r="D17">
        <v>1163</v>
      </c>
      <c r="E17">
        <v>0</v>
      </c>
      <c r="F17">
        <v>0</v>
      </c>
      <c r="G17">
        <v>0</v>
      </c>
      <c r="H17">
        <v>0</v>
      </c>
      <c r="I17">
        <v>0.21207148067104303</v>
      </c>
      <c r="J17">
        <v>0.20145601830804774</v>
      </c>
      <c r="K17">
        <v>0.22309003979841904</v>
      </c>
      <c r="L17">
        <v>0</v>
      </c>
      <c r="M17">
        <v>0</v>
      </c>
      <c r="N17">
        <v>6.9999450787324444E-4</v>
      </c>
      <c r="O17">
        <v>0</v>
      </c>
      <c r="Q17">
        <f>tProduct[[#This Row],[view_to_purchase_rate]]-tProduct[[#This Row],[view_to_purchase_rate_lower]]</f>
        <v>0</v>
      </c>
      <c r="R17">
        <f>tProduct[[#This Row],[view_to_purchase_rate_upper]]-tProduct[[#This Row],[view_to_purchase_rate]]</f>
        <v>6.9999450787324444E-4</v>
      </c>
    </row>
    <row r="18" spans="1:18" ht="16.5" x14ac:dyDescent="0.3">
      <c r="A18" s="1" t="s">
        <v>105</v>
      </c>
      <c r="B18">
        <v>12</v>
      </c>
      <c r="C18">
        <v>8416</v>
      </c>
      <c r="D18">
        <v>2196</v>
      </c>
      <c r="E18">
        <v>410</v>
      </c>
      <c r="F18">
        <v>442</v>
      </c>
      <c r="G18">
        <v>770</v>
      </c>
      <c r="H18">
        <v>12372</v>
      </c>
      <c r="I18">
        <v>0.26093155893536124</v>
      </c>
      <c r="J18">
        <v>0.25166002016920741</v>
      </c>
      <c r="K18">
        <v>0.2704212423282637</v>
      </c>
      <c r="L18">
        <v>4.8716730038022814E-2</v>
      </c>
      <c r="M18">
        <v>4.431979163065973E-2</v>
      </c>
      <c r="N18">
        <v>5.3525454375997955E-2</v>
      </c>
      <c r="O18">
        <v>0</v>
      </c>
      <c r="Q18">
        <f>tProduct[[#This Row],[view_to_purchase_rate]]-tProduct[[#This Row],[view_to_purchase_rate_lower]]</f>
        <v>4.3969384073630838E-3</v>
      </c>
      <c r="R18">
        <f>tProduct[[#This Row],[view_to_purchase_rate_upper]]-tProduct[[#This Row],[view_to_purchase_rate]]</f>
        <v>4.8087243379751413E-3</v>
      </c>
    </row>
    <row r="19" spans="1:18" ht="16.5" x14ac:dyDescent="0.3">
      <c r="A19" s="1" t="s">
        <v>106</v>
      </c>
      <c r="B19">
        <v>30</v>
      </c>
      <c r="C19">
        <v>129</v>
      </c>
      <c r="D19">
        <v>29</v>
      </c>
      <c r="E19">
        <v>11</v>
      </c>
      <c r="F19">
        <v>13</v>
      </c>
      <c r="G19">
        <v>14</v>
      </c>
      <c r="H19">
        <v>147</v>
      </c>
      <c r="I19">
        <v>0.22480620155038761</v>
      </c>
      <c r="J19">
        <v>0.16133057638966131</v>
      </c>
      <c r="K19">
        <v>0.30419772631104958</v>
      </c>
      <c r="L19">
        <v>8.5271317829457363E-2</v>
      </c>
      <c r="M19">
        <v>4.8280520644608693E-2</v>
      </c>
      <c r="N19">
        <v>0.14624804821420909</v>
      </c>
      <c r="O19">
        <v>0</v>
      </c>
      <c r="Q19">
        <f>tProduct[[#This Row],[view_to_purchase_rate]]-tProduct[[#This Row],[view_to_purchase_rate_lower]]</f>
        <v>3.699079718484867E-2</v>
      </c>
      <c r="R19">
        <f>tProduct[[#This Row],[view_to_purchase_rate_upper]]-tProduct[[#This Row],[view_to_purchase_rate]]</f>
        <v>6.0976730384751723E-2</v>
      </c>
    </row>
    <row r="20" spans="1:18" ht="16.5" x14ac:dyDescent="0.3">
      <c r="A20" s="1" t="s">
        <v>107</v>
      </c>
      <c r="B20">
        <v>21</v>
      </c>
      <c r="C20">
        <v>2556</v>
      </c>
      <c r="D20">
        <v>841</v>
      </c>
      <c r="E20">
        <v>191</v>
      </c>
      <c r="F20">
        <v>200</v>
      </c>
      <c r="G20">
        <v>714</v>
      </c>
      <c r="H20">
        <v>1212</v>
      </c>
      <c r="I20">
        <v>0.3290297339593114</v>
      </c>
      <c r="J20">
        <v>0.31108284399438102</v>
      </c>
      <c r="K20">
        <v>0.34748976136456317</v>
      </c>
      <c r="L20">
        <v>7.4726134585289511E-2</v>
      </c>
      <c r="M20">
        <v>6.5158136628517133E-2</v>
      </c>
      <c r="N20">
        <v>8.5570517891328274E-2</v>
      </c>
      <c r="O20">
        <v>0</v>
      </c>
      <c r="Q20">
        <f>tProduct[[#This Row],[view_to_purchase_rate]]-tProduct[[#This Row],[view_to_purchase_rate_lower]]</f>
        <v>9.5679979567723783E-3</v>
      </c>
      <c r="R20">
        <f>tProduct[[#This Row],[view_to_purchase_rate_upper]]-tProduct[[#This Row],[view_to_purchase_rate]]</f>
        <v>1.0844383306038763E-2</v>
      </c>
    </row>
    <row r="21" spans="1:18" ht="16.5" x14ac:dyDescent="0.3">
      <c r="A21" s="1" t="s">
        <v>108</v>
      </c>
      <c r="B21">
        <v>17</v>
      </c>
      <c r="C21">
        <v>5536</v>
      </c>
      <c r="D21">
        <v>1743</v>
      </c>
      <c r="E21">
        <v>574</v>
      </c>
      <c r="F21">
        <v>607</v>
      </c>
      <c r="G21">
        <v>1564</v>
      </c>
      <c r="H21">
        <v>14091</v>
      </c>
      <c r="I21">
        <v>0.31484826589595377</v>
      </c>
      <c r="J21">
        <v>0.30274550187112836</v>
      </c>
      <c r="K21">
        <v>0.32720780722339349</v>
      </c>
      <c r="L21">
        <v>0.1036849710982659</v>
      </c>
      <c r="M21">
        <v>9.5927446899579993E-2</v>
      </c>
      <c r="N21">
        <v>0.11199212398176729</v>
      </c>
      <c r="O21">
        <v>0</v>
      </c>
      <c r="Q21">
        <f>tProduct[[#This Row],[view_to_purchase_rate]]-tProduct[[#This Row],[view_to_purchase_rate_lower]]</f>
        <v>7.7575241986859028E-3</v>
      </c>
      <c r="R21">
        <f>tProduct[[#This Row],[view_to_purchase_rate_upper]]-tProduct[[#This Row],[view_to_purchase_rate]]</f>
        <v>8.3071528835013952E-3</v>
      </c>
    </row>
    <row r="22" spans="1:18" ht="16.5" x14ac:dyDescent="0.3">
      <c r="A22" s="1" t="s">
        <v>109</v>
      </c>
      <c r="B22">
        <v>28</v>
      </c>
      <c r="C22">
        <v>279</v>
      </c>
      <c r="D22">
        <v>72</v>
      </c>
      <c r="E22">
        <v>17</v>
      </c>
      <c r="F22">
        <v>22</v>
      </c>
      <c r="G22">
        <v>28</v>
      </c>
      <c r="H22">
        <v>686</v>
      </c>
      <c r="I22">
        <v>0.25806451612903225</v>
      </c>
      <c r="J22">
        <v>0.21025009682691487</v>
      </c>
      <c r="K22">
        <v>0.31245071042405698</v>
      </c>
      <c r="L22">
        <v>6.093189964157706E-2</v>
      </c>
      <c r="M22">
        <v>3.8387407548878309E-2</v>
      </c>
      <c r="N22">
        <v>9.5402946351033677E-2</v>
      </c>
      <c r="O22">
        <v>0</v>
      </c>
      <c r="Q22">
        <f>tProduct[[#This Row],[view_to_purchase_rate]]-tProduct[[#This Row],[view_to_purchase_rate_lower]]</f>
        <v>2.2544492092698751E-2</v>
      </c>
      <c r="R22">
        <f>tProduct[[#This Row],[view_to_purchase_rate_upper]]-tProduct[[#This Row],[view_to_purchase_rate]]</f>
        <v>3.4471046709456617E-2</v>
      </c>
    </row>
    <row r="23" spans="1:18" ht="16.5" x14ac:dyDescent="0.3">
      <c r="A23" s="1" t="s">
        <v>110</v>
      </c>
      <c r="B23">
        <v>6</v>
      </c>
      <c r="C23">
        <v>12978</v>
      </c>
      <c r="D23">
        <v>3070</v>
      </c>
      <c r="E23">
        <v>786</v>
      </c>
      <c r="F23">
        <v>848</v>
      </c>
      <c r="G23">
        <v>2573</v>
      </c>
      <c r="H23">
        <v>21750</v>
      </c>
      <c r="I23">
        <v>0.23655416859300354</v>
      </c>
      <c r="J23">
        <v>0.22932142336883982</v>
      </c>
      <c r="K23">
        <v>0.24394282641739498</v>
      </c>
      <c r="L23">
        <v>6.0564031437817849E-2</v>
      </c>
      <c r="M23">
        <v>5.6588821732035242E-2</v>
      </c>
      <c r="N23">
        <v>6.4799308285776069E-2</v>
      </c>
      <c r="O23">
        <v>0</v>
      </c>
      <c r="Q23">
        <f>tProduct[[#This Row],[view_to_purchase_rate]]-tProduct[[#This Row],[view_to_purchase_rate_lower]]</f>
        <v>3.9752097057826064E-3</v>
      </c>
      <c r="R23">
        <f>tProduct[[#This Row],[view_to_purchase_rate_upper]]-tProduct[[#This Row],[view_to_purchase_rate]]</f>
        <v>4.2352768479582206E-3</v>
      </c>
    </row>
    <row r="24" spans="1:18" ht="16.5" x14ac:dyDescent="0.3">
      <c r="A24" s="1" t="s">
        <v>111</v>
      </c>
      <c r="B24">
        <v>14</v>
      </c>
      <c r="C24">
        <v>6603</v>
      </c>
      <c r="D24">
        <v>2088</v>
      </c>
      <c r="E24">
        <v>519</v>
      </c>
      <c r="F24">
        <v>561</v>
      </c>
      <c r="G24">
        <v>2427</v>
      </c>
      <c r="H24">
        <v>6178</v>
      </c>
      <c r="I24">
        <v>0.31621990004543388</v>
      </c>
      <c r="J24">
        <v>0.30511370802405802</v>
      </c>
      <c r="K24">
        <v>0.32753980498895863</v>
      </c>
      <c r="L24">
        <v>7.8600636074511579E-2</v>
      </c>
      <c r="M24">
        <v>7.2351874210106262E-2</v>
      </c>
      <c r="N24">
        <v>8.5339431895142065E-2</v>
      </c>
      <c r="O24">
        <v>0</v>
      </c>
      <c r="Q24">
        <f>tProduct[[#This Row],[view_to_purchase_rate]]-tProduct[[#This Row],[view_to_purchase_rate_lower]]</f>
        <v>6.2487618644053167E-3</v>
      </c>
      <c r="R24">
        <f>tProduct[[#This Row],[view_to_purchase_rate_upper]]-tProduct[[#This Row],[view_to_purchase_rate]]</f>
        <v>6.738795820630486E-3</v>
      </c>
    </row>
    <row r="25" spans="1:18" ht="16.5" x14ac:dyDescent="0.3">
      <c r="A25" s="1" t="s">
        <v>112</v>
      </c>
      <c r="B25">
        <v>32</v>
      </c>
      <c r="C25">
        <v>62</v>
      </c>
      <c r="D25">
        <v>0</v>
      </c>
      <c r="E25">
        <v>2</v>
      </c>
      <c r="F25">
        <v>2</v>
      </c>
      <c r="G25">
        <v>2</v>
      </c>
      <c r="H25">
        <v>72</v>
      </c>
      <c r="I25">
        <v>0</v>
      </c>
      <c r="J25">
        <v>0</v>
      </c>
      <c r="K25">
        <v>5.8344072968092561E-2</v>
      </c>
      <c r="L25">
        <v>3.2258064516129031E-2</v>
      </c>
      <c r="M25">
        <v>8.8913714197576404E-3</v>
      </c>
      <c r="N25">
        <v>0.11020469684071603</v>
      </c>
      <c r="O25">
        <v>1</v>
      </c>
      <c r="Q25">
        <f>tProduct[[#This Row],[view_to_purchase_rate]]-tProduct[[#This Row],[view_to_purchase_rate_lower]]</f>
        <v>2.3366693096371391E-2</v>
      </c>
      <c r="R25">
        <f>tProduct[[#This Row],[view_to_purchase_rate_upper]]-tProduct[[#This Row],[view_to_purchase_rate]]</f>
        <v>7.7946632324586998E-2</v>
      </c>
    </row>
    <row r="26" spans="1:18" ht="16.5" x14ac:dyDescent="0.3">
      <c r="A26" s="1" t="s">
        <v>113</v>
      </c>
      <c r="B26">
        <v>13</v>
      </c>
      <c r="C26">
        <v>8310</v>
      </c>
      <c r="D26">
        <v>2202</v>
      </c>
      <c r="E26">
        <v>352</v>
      </c>
      <c r="F26">
        <v>396</v>
      </c>
      <c r="G26">
        <v>688</v>
      </c>
      <c r="H26">
        <v>7504</v>
      </c>
      <c r="I26">
        <v>0.26498194945848375</v>
      </c>
      <c r="J26">
        <v>0.25560345519748257</v>
      </c>
      <c r="K26">
        <v>0.27457762663835167</v>
      </c>
      <c r="L26">
        <v>4.235860409145608E-2</v>
      </c>
      <c r="M26">
        <v>3.8235580861305032E-2</v>
      </c>
      <c r="N26">
        <v>4.6904539067869393E-2</v>
      </c>
      <c r="O26">
        <v>0</v>
      </c>
      <c r="Q26">
        <f>tProduct[[#This Row],[view_to_purchase_rate]]-tProduct[[#This Row],[view_to_purchase_rate_lower]]</f>
        <v>4.1230232301510475E-3</v>
      </c>
      <c r="R26">
        <f>tProduct[[#This Row],[view_to_purchase_rate_upper]]-tProduct[[#This Row],[view_to_purchase_rate]]</f>
        <v>4.5459349764133128E-3</v>
      </c>
    </row>
    <row r="27" spans="1:18" ht="16.5" x14ac:dyDescent="0.3">
      <c r="A27" s="1" t="s">
        <v>114</v>
      </c>
      <c r="B27">
        <v>25</v>
      </c>
      <c r="C27">
        <v>2190</v>
      </c>
      <c r="D27">
        <v>211</v>
      </c>
      <c r="E27">
        <v>51</v>
      </c>
      <c r="F27">
        <v>55</v>
      </c>
      <c r="G27">
        <v>80</v>
      </c>
      <c r="H27">
        <v>3269</v>
      </c>
      <c r="I27">
        <v>9.6347031963470317E-2</v>
      </c>
      <c r="J27">
        <v>8.468650759772374E-2</v>
      </c>
      <c r="K27">
        <v>0.10942116465788448</v>
      </c>
      <c r="L27">
        <v>2.3287671232876714E-2</v>
      </c>
      <c r="M27">
        <v>1.775653095058375E-2</v>
      </c>
      <c r="N27">
        <v>3.0488276554908319E-2</v>
      </c>
      <c r="O27">
        <v>0</v>
      </c>
      <c r="Q27">
        <f>tProduct[[#This Row],[view_to_purchase_rate]]-tProduct[[#This Row],[view_to_purchase_rate_lower]]</f>
        <v>5.5311402822929637E-3</v>
      </c>
      <c r="R27">
        <f>tProduct[[#This Row],[view_to_purchase_rate_upper]]-tProduct[[#This Row],[view_to_purchase_rate]]</f>
        <v>7.2006053220316051E-3</v>
      </c>
    </row>
    <row r="28" spans="1:18" ht="16.5" x14ac:dyDescent="0.3">
      <c r="A28" s="1" t="s">
        <v>115</v>
      </c>
      <c r="B28">
        <v>3</v>
      </c>
      <c r="C28">
        <v>21802</v>
      </c>
      <c r="D28">
        <v>5824</v>
      </c>
      <c r="E28">
        <v>634</v>
      </c>
      <c r="F28">
        <v>659</v>
      </c>
      <c r="G28">
        <v>1618</v>
      </c>
      <c r="H28">
        <v>16474</v>
      </c>
      <c r="I28">
        <v>0.26713145582974041</v>
      </c>
      <c r="J28">
        <v>0.26129964416724499</v>
      </c>
      <c r="K28">
        <v>0.27304531476739963</v>
      </c>
      <c r="L28">
        <v>2.9079900926520501E-2</v>
      </c>
      <c r="M28">
        <v>2.6931087679554905E-2</v>
      </c>
      <c r="N28">
        <v>3.1394634869587448E-2</v>
      </c>
      <c r="O28">
        <v>0</v>
      </c>
      <c r="Q28">
        <f>tProduct[[#This Row],[view_to_purchase_rate]]-tProduct[[#This Row],[view_to_purchase_rate_lower]]</f>
        <v>2.1488132469655967E-3</v>
      </c>
      <c r="R28">
        <f>tProduct[[#This Row],[view_to_purchase_rate_upper]]-tProduct[[#This Row],[view_to_purchase_rate]]</f>
        <v>2.3147339430669468E-3</v>
      </c>
    </row>
    <row r="29" spans="1:18" ht="16.5" x14ac:dyDescent="0.3">
      <c r="A29" s="1" t="s">
        <v>116</v>
      </c>
      <c r="B29">
        <v>7</v>
      </c>
      <c r="C29">
        <v>11826</v>
      </c>
      <c r="D29">
        <v>2327</v>
      </c>
      <c r="E29">
        <v>408</v>
      </c>
      <c r="F29">
        <v>438</v>
      </c>
      <c r="G29">
        <v>828</v>
      </c>
      <c r="H29">
        <v>12189</v>
      </c>
      <c r="I29">
        <v>0.1967698291899205</v>
      </c>
      <c r="J29">
        <v>0.18970358109259539</v>
      </c>
      <c r="K29">
        <v>0.20403301081958145</v>
      </c>
      <c r="L29">
        <v>3.4500253678335868E-2</v>
      </c>
      <c r="M29">
        <v>3.1359078137955861E-2</v>
      </c>
      <c r="N29">
        <v>3.794374910034131E-2</v>
      </c>
      <c r="O29">
        <v>0</v>
      </c>
      <c r="Q29">
        <f>tProduct[[#This Row],[view_to_purchase_rate]]-tProduct[[#This Row],[view_to_purchase_rate_lower]]</f>
        <v>3.1411755403800076E-3</v>
      </c>
      <c r="R29">
        <f>tProduct[[#This Row],[view_to_purchase_rate_upper]]-tProduct[[#This Row],[view_to_purchase_rate]]</f>
        <v>3.4434954220054423E-3</v>
      </c>
    </row>
    <row r="30" spans="1:18" ht="16.5" x14ac:dyDescent="0.3">
      <c r="A30" s="1" t="s">
        <v>117</v>
      </c>
      <c r="B30">
        <v>8</v>
      </c>
      <c r="C30">
        <v>11431</v>
      </c>
      <c r="D30">
        <v>2317</v>
      </c>
      <c r="E30">
        <v>353</v>
      </c>
      <c r="F30">
        <v>385</v>
      </c>
      <c r="G30">
        <v>780</v>
      </c>
      <c r="H30">
        <v>14419</v>
      </c>
      <c r="I30">
        <v>0.20269442743417024</v>
      </c>
      <c r="J30">
        <v>0.19542534490712282</v>
      </c>
      <c r="K30">
        <v>0.21016326561787427</v>
      </c>
      <c r="L30">
        <v>3.0880937800717347E-2</v>
      </c>
      <c r="M30">
        <v>2.7863835865473224E-2</v>
      </c>
      <c r="N30">
        <v>3.4213234589226524E-2</v>
      </c>
      <c r="O30">
        <v>0</v>
      </c>
      <c r="Q30">
        <f>tProduct[[#This Row],[view_to_purchase_rate]]-tProduct[[#This Row],[view_to_purchase_rate_lower]]</f>
        <v>3.0171019352441229E-3</v>
      </c>
      <c r="R30">
        <f>tProduct[[#This Row],[view_to_purchase_rate_upper]]-tProduct[[#This Row],[view_to_purchase_rate]]</f>
        <v>3.3322967885091766E-3</v>
      </c>
    </row>
    <row r="31" spans="1:18" ht="16.5" x14ac:dyDescent="0.3">
      <c r="A31" s="1" t="s">
        <v>31</v>
      </c>
      <c r="B31">
        <v>999</v>
      </c>
      <c r="C31">
        <v>3</v>
      </c>
      <c r="D31">
        <v>2</v>
      </c>
      <c r="E31">
        <v>0</v>
      </c>
      <c r="F31">
        <v>486</v>
      </c>
      <c r="G31">
        <v>688</v>
      </c>
      <c r="H31">
        <v>15082</v>
      </c>
      <c r="I31">
        <v>0.66666666666666663</v>
      </c>
      <c r="J31">
        <v>0.2076595988078242</v>
      </c>
      <c r="K31">
        <v>0.93850805597906906</v>
      </c>
      <c r="L31">
        <v>0</v>
      </c>
      <c r="M31">
        <v>0</v>
      </c>
      <c r="N31">
        <v>0.56149703563931963</v>
      </c>
      <c r="O31">
        <v>1</v>
      </c>
      <c r="Q31">
        <f>tProduct[[#This Row],[view_to_purchase_rate]]-tProduct[[#This Row],[view_to_purchase_rate_lower]]</f>
        <v>0</v>
      </c>
      <c r="R31">
        <f>tProduct[[#This Row],[view_to_purchase_rate_upper]]-tProduct[[#This Row],[view_to_purchase_rate]]</f>
        <v>0.56149703563931963</v>
      </c>
    </row>
    <row r="32" spans="1:18" ht="16.5" x14ac:dyDescent="0.3">
      <c r="A32" s="1" t="s">
        <v>118</v>
      </c>
      <c r="B32">
        <v>10</v>
      </c>
      <c r="C32">
        <v>10290</v>
      </c>
      <c r="D32">
        <v>2118</v>
      </c>
      <c r="E32">
        <v>309</v>
      </c>
      <c r="F32">
        <v>330</v>
      </c>
      <c r="G32">
        <v>414</v>
      </c>
      <c r="H32">
        <v>18495</v>
      </c>
      <c r="I32">
        <v>0.20583090379008748</v>
      </c>
      <c r="J32">
        <v>0.19812954888860959</v>
      </c>
      <c r="K32">
        <v>0.21375181491685841</v>
      </c>
      <c r="L32">
        <v>3.0029154518950437E-2</v>
      </c>
      <c r="M32">
        <v>2.69029428406878E-2</v>
      </c>
      <c r="N32">
        <v>3.350613392285464E-2</v>
      </c>
      <c r="O32">
        <v>0</v>
      </c>
      <c r="Q32">
        <f>tProduct[[#This Row],[view_to_purchase_rate]]-tProduct[[#This Row],[view_to_purchase_rate_lower]]</f>
        <v>3.1262116782626373E-3</v>
      </c>
      <c r="R32">
        <f>tProduct[[#This Row],[view_to_purchase_rate_upper]]-tProduct[[#This Row],[view_to_purchase_rate]]</f>
        <v>3.4769794039042033E-3</v>
      </c>
    </row>
    <row r="33" spans="1:18" ht="16.5" x14ac:dyDescent="0.3">
      <c r="A33" s="1" t="s">
        <v>119</v>
      </c>
      <c r="B33">
        <v>20</v>
      </c>
      <c r="C33">
        <v>2811</v>
      </c>
      <c r="D33">
        <v>725</v>
      </c>
      <c r="E33">
        <v>90</v>
      </c>
      <c r="F33">
        <v>101</v>
      </c>
      <c r="G33">
        <v>153</v>
      </c>
      <c r="H33">
        <v>1550</v>
      </c>
      <c r="I33">
        <v>0.25791533262184274</v>
      </c>
      <c r="J33">
        <v>0.24208065555092062</v>
      </c>
      <c r="K33">
        <v>0.27441076327985675</v>
      </c>
      <c r="L33">
        <v>3.2017075773745997E-2</v>
      </c>
      <c r="M33">
        <v>2.6120975344404787E-2</v>
      </c>
      <c r="N33">
        <v>3.9190503673799039E-2</v>
      </c>
      <c r="O33">
        <v>0</v>
      </c>
      <c r="Q33">
        <f>tProduct[[#This Row],[view_to_purchase_rate]]-tProduct[[#This Row],[view_to_purchase_rate_lower]]</f>
        <v>5.8961004293412098E-3</v>
      </c>
      <c r="R33">
        <f>tProduct[[#This Row],[view_to_purchase_rate_upper]]-tProduct[[#This Row],[view_to_purchase_rate]]</f>
        <v>7.1734279000530421E-3</v>
      </c>
    </row>
    <row r="34" spans="1:18" ht="16.5" x14ac:dyDescent="0.3">
      <c r="A34" s="1" t="s">
        <v>120</v>
      </c>
      <c r="B34">
        <v>26</v>
      </c>
      <c r="C34">
        <v>1946</v>
      </c>
      <c r="D34">
        <v>539</v>
      </c>
      <c r="E34">
        <v>101</v>
      </c>
      <c r="F34">
        <v>108</v>
      </c>
      <c r="G34">
        <v>185</v>
      </c>
      <c r="H34">
        <v>2513</v>
      </c>
      <c r="I34">
        <v>0.27697841726618705</v>
      </c>
      <c r="J34">
        <v>0.25754984120374264</v>
      </c>
      <c r="K34">
        <v>0.2972857604056276</v>
      </c>
      <c r="L34">
        <v>5.1901336073997946E-2</v>
      </c>
      <c r="M34">
        <v>4.2898549254097938E-2</v>
      </c>
      <c r="N34">
        <v>6.266975628362291E-2</v>
      </c>
      <c r="O34">
        <v>0</v>
      </c>
      <c r="Q34">
        <f>tProduct[[#This Row],[view_to_purchase_rate]]-tProduct[[#This Row],[view_to_purchase_rate_lower]]</f>
        <v>9.0027868199000077E-3</v>
      </c>
      <c r="R34">
        <f>tProduct[[#This Row],[view_to_purchase_rate_upper]]-tProduct[[#This Row],[view_to_purchase_rate]]</f>
        <v>1.0768420209624964E-2</v>
      </c>
    </row>
    <row r="35" spans="1:18" ht="16.5" x14ac:dyDescent="0.3">
      <c r="A35" s="1" t="s">
        <v>121</v>
      </c>
      <c r="B35">
        <v>31</v>
      </c>
      <c r="C35">
        <v>63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5.7471200443396389E-2</v>
      </c>
      <c r="L35">
        <v>0</v>
      </c>
      <c r="M35">
        <v>0</v>
      </c>
      <c r="N35">
        <v>5.7471200443396389E-2</v>
      </c>
      <c r="O35">
        <v>1</v>
      </c>
      <c r="Q35">
        <f>tProduct[[#This Row],[view_to_purchase_rate]]-tProduct[[#This Row],[view_to_purchase_rate_lower]]</f>
        <v>0</v>
      </c>
      <c r="R35">
        <f>tProduct[[#This Row],[view_to_purchase_rate_upper]]-tProduct[[#This Row],[view_to_purchase_rate]]</f>
        <v>5.7471200443396389E-2</v>
      </c>
    </row>
    <row r="36" spans="1:18" ht="16.5" x14ac:dyDescent="0.3">
      <c r="A36" s="1" t="s">
        <v>122</v>
      </c>
      <c r="B36">
        <v>19</v>
      </c>
      <c r="C36">
        <v>3730</v>
      </c>
      <c r="D36">
        <v>568</v>
      </c>
      <c r="E36">
        <v>310</v>
      </c>
      <c r="F36">
        <v>361</v>
      </c>
      <c r="G36">
        <v>570</v>
      </c>
      <c r="H36">
        <v>9638</v>
      </c>
      <c r="I36">
        <v>0.15227882037533513</v>
      </c>
      <c r="J36">
        <v>0.1411066627166932</v>
      </c>
      <c r="K36">
        <v>0.1641664645528311</v>
      </c>
      <c r="L36">
        <v>8.3109919571045576E-2</v>
      </c>
      <c r="M36">
        <v>7.4674123009334362E-2</v>
      </c>
      <c r="N36">
        <v>9.2403527649193185E-2</v>
      </c>
      <c r="O36">
        <v>0</v>
      </c>
      <c r="Q36">
        <f>tProduct[[#This Row],[view_to_purchase_rate]]-tProduct[[#This Row],[view_to_purchase_rate_lower]]</f>
        <v>8.4357965617112146E-3</v>
      </c>
      <c r="R36">
        <f>tProduct[[#This Row],[view_to_purchase_rate_upper]]-tProduct[[#This Row],[view_to_purchase_rate]]</f>
        <v>9.2936080781476083E-3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AA36-12F1-40B6-97E2-E55B33076276}">
  <dimension ref="A1:O15"/>
  <sheetViews>
    <sheetView topLeftCell="H1" workbookViewId="0">
      <selection activeCell="O3" sqref="O3"/>
    </sheetView>
  </sheetViews>
  <sheetFormatPr defaultRowHeight="16.5" x14ac:dyDescent="0.3"/>
  <cols>
    <col min="1" max="2" width="12.5" bestFit="1" customWidth="1"/>
    <col min="3" max="3" width="11.875" bestFit="1" customWidth="1"/>
    <col min="4" max="4" width="14.75" bestFit="1" customWidth="1"/>
    <col min="5" max="5" width="16.25" bestFit="1" customWidth="1"/>
    <col min="6" max="6" width="10.375" bestFit="1" customWidth="1"/>
    <col min="7" max="7" width="24.875" bestFit="1" customWidth="1"/>
    <col min="8" max="8" width="26.125" bestFit="1" customWidth="1"/>
    <col min="9" max="9" width="29.75" bestFit="1" customWidth="1"/>
    <col min="10" max="10" width="24" bestFit="1" customWidth="1"/>
    <col min="11" max="11" width="24.375" bestFit="1" customWidth="1"/>
    <col min="12" max="12" width="30.125" bestFit="1" customWidth="1"/>
    <col min="13" max="13" width="30.375" bestFit="1" customWidth="1"/>
    <col min="14" max="14" width="14.125" bestFit="1" customWidth="1"/>
    <col min="15" max="15" width="12.375" bestFit="1" customWidth="1"/>
  </cols>
  <sheetData>
    <row r="1" spans="1:15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25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129</v>
      </c>
      <c r="O1" t="s">
        <v>130</v>
      </c>
    </row>
    <row r="2" spans="1:15" x14ac:dyDescent="0.3">
      <c r="A2" s="2">
        <v>44200</v>
      </c>
      <c r="B2" s="1" t="s">
        <v>60</v>
      </c>
      <c r="C2">
        <v>11</v>
      </c>
      <c r="D2">
        <v>7</v>
      </c>
      <c r="E2">
        <v>0</v>
      </c>
      <c r="F2">
        <v>28756</v>
      </c>
      <c r="G2">
        <v>4413</v>
      </c>
      <c r="H2">
        <v>954</v>
      </c>
      <c r="I2">
        <v>344</v>
      </c>
      <c r="J2">
        <v>162</v>
      </c>
      <c r="K2">
        <v>5.6336068994296846E-3</v>
      </c>
      <c r="L2">
        <v>4.8321123973772253E-3</v>
      </c>
      <c r="M2">
        <v>6.5671666754931711E-3</v>
      </c>
      <c r="N2">
        <f>tWeekly[[#This Row],[session_conversion_rate]]-tWeekly[[#This Row],[session_conversion_rate_lower]]</f>
        <v>8.0149450205245932E-4</v>
      </c>
      <c r="O2">
        <f>tWeekly[[#This Row],[session_conversion_rate_upper]]-tWeekly[[#This Row],[session_conversion_rate]]</f>
        <v>9.3355977606348652E-4</v>
      </c>
    </row>
    <row r="3" spans="1:15" x14ac:dyDescent="0.3">
      <c r="A3" s="2">
        <v>44137</v>
      </c>
      <c r="B3" s="1" t="s">
        <v>61</v>
      </c>
      <c r="C3">
        <v>2</v>
      </c>
      <c r="D3">
        <v>7</v>
      </c>
      <c r="E3">
        <v>0</v>
      </c>
      <c r="F3">
        <v>24630</v>
      </c>
      <c r="G3">
        <v>5496</v>
      </c>
      <c r="H3">
        <v>0</v>
      </c>
      <c r="I3">
        <v>883</v>
      </c>
      <c r="J3">
        <v>249</v>
      </c>
      <c r="K3">
        <v>1.0109622411693057E-2</v>
      </c>
      <c r="L3">
        <v>8.9344515178479203E-3</v>
      </c>
      <c r="M3">
        <v>1.1437582609227535E-2</v>
      </c>
      <c r="N3">
        <f>tWeekly[[#This Row],[session_conversion_rate]]-tWeekly[[#This Row],[session_conversion_rate_lower]]</f>
        <v>1.1751708938451365E-3</v>
      </c>
      <c r="O3">
        <f>tWeekly[[#This Row],[session_conversion_rate_upper]]-tWeekly[[#This Row],[session_conversion_rate]]</f>
        <v>1.3279601975344779E-3</v>
      </c>
    </row>
    <row r="4" spans="1:15" x14ac:dyDescent="0.3">
      <c r="A4" s="2">
        <v>44179</v>
      </c>
      <c r="B4" s="1" t="s">
        <v>62</v>
      </c>
      <c r="C4">
        <v>8</v>
      </c>
      <c r="D4">
        <v>7</v>
      </c>
      <c r="E4">
        <v>0</v>
      </c>
      <c r="F4">
        <v>32973</v>
      </c>
      <c r="G4">
        <v>7029</v>
      </c>
      <c r="H4">
        <v>2082</v>
      </c>
      <c r="I4">
        <v>1010</v>
      </c>
      <c r="J4">
        <v>547</v>
      </c>
      <c r="K4">
        <v>1.6589330664483062E-2</v>
      </c>
      <c r="L4">
        <v>1.5265934003580195E-2</v>
      </c>
      <c r="M4">
        <v>1.8025351950843021E-2</v>
      </c>
      <c r="N4">
        <f>tWeekly[[#This Row],[session_conversion_rate]]-tWeekly[[#This Row],[session_conversion_rate_lower]]</f>
        <v>1.3233966609028664E-3</v>
      </c>
      <c r="O4">
        <f>tWeekly[[#This Row],[session_conversion_rate_upper]]-tWeekly[[#This Row],[session_conversion_rate]]</f>
        <v>1.4360212863599592E-3</v>
      </c>
    </row>
    <row r="5" spans="1:15" x14ac:dyDescent="0.3">
      <c r="A5" s="2">
        <v>44130</v>
      </c>
      <c r="B5" s="1" t="s">
        <v>63</v>
      </c>
      <c r="C5">
        <v>1</v>
      </c>
      <c r="D5">
        <v>1</v>
      </c>
      <c r="E5">
        <v>1</v>
      </c>
      <c r="F5">
        <v>2592</v>
      </c>
      <c r="G5">
        <v>535</v>
      </c>
      <c r="H5">
        <v>1</v>
      </c>
      <c r="I5">
        <v>94</v>
      </c>
      <c r="J5">
        <v>13</v>
      </c>
      <c r="K5">
        <v>5.0154320987654318E-3</v>
      </c>
      <c r="L5">
        <v>2.9334322127072521E-3</v>
      </c>
      <c r="M5">
        <v>8.5624389157847314E-3</v>
      </c>
      <c r="N5">
        <f>tWeekly[[#This Row],[session_conversion_rate]]-tWeekly[[#This Row],[session_conversion_rate_lower]]</f>
        <v>2.0819998860581797E-3</v>
      </c>
      <c r="O5">
        <f>tWeekly[[#This Row],[session_conversion_rate_upper]]-tWeekly[[#This Row],[session_conversion_rate]]</f>
        <v>3.5470068170192996E-3</v>
      </c>
    </row>
    <row r="6" spans="1:15" x14ac:dyDescent="0.3">
      <c r="A6" s="2">
        <v>44151</v>
      </c>
      <c r="B6" s="1" t="s">
        <v>64</v>
      </c>
      <c r="C6">
        <v>4</v>
      </c>
      <c r="D6">
        <v>7</v>
      </c>
      <c r="E6">
        <v>0</v>
      </c>
      <c r="F6">
        <v>25488</v>
      </c>
      <c r="G6">
        <v>6577</v>
      </c>
      <c r="H6">
        <v>531</v>
      </c>
      <c r="I6">
        <v>1043</v>
      </c>
      <c r="J6">
        <v>373</v>
      </c>
      <c r="K6">
        <v>1.4634337727558067E-2</v>
      </c>
      <c r="L6">
        <v>1.3231546174596383E-2</v>
      </c>
      <c r="M6">
        <v>1.6183412336376664E-2</v>
      </c>
      <c r="N6">
        <f>tWeekly[[#This Row],[session_conversion_rate]]-tWeekly[[#This Row],[session_conversion_rate_lower]]</f>
        <v>1.4027915529616838E-3</v>
      </c>
      <c r="O6">
        <f>tWeekly[[#This Row],[session_conversion_rate_upper]]-tWeekly[[#This Row],[session_conversion_rate]]</f>
        <v>1.5490746088185972E-3</v>
      </c>
    </row>
    <row r="7" spans="1:15" x14ac:dyDescent="0.3">
      <c r="A7" s="2">
        <v>44207</v>
      </c>
      <c r="B7" s="1" t="s">
        <v>65</v>
      </c>
      <c r="C7">
        <v>12</v>
      </c>
      <c r="D7">
        <v>7</v>
      </c>
      <c r="E7">
        <v>0</v>
      </c>
      <c r="F7">
        <v>27384</v>
      </c>
      <c r="G7">
        <v>4812</v>
      </c>
      <c r="H7">
        <v>1082</v>
      </c>
      <c r="I7">
        <v>454</v>
      </c>
      <c r="J7">
        <v>227</v>
      </c>
      <c r="K7">
        <v>8.2895121238679512E-3</v>
      </c>
      <c r="L7">
        <v>7.2824608608493494E-3</v>
      </c>
      <c r="M7">
        <v>9.4344994577896975E-3</v>
      </c>
      <c r="N7">
        <f>tWeekly[[#This Row],[session_conversion_rate]]-tWeekly[[#This Row],[session_conversion_rate_lower]]</f>
        <v>1.0070512630186018E-3</v>
      </c>
      <c r="O7">
        <f>tWeekly[[#This Row],[session_conversion_rate_upper]]-tWeekly[[#This Row],[session_conversion_rate]]</f>
        <v>1.1449873339217462E-3</v>
      </c>
    </row>
    <row r="8" spans="1:15" x14ac:dyDescent="0.3">
      <c r="A8" s="2">
        <v>44165</v>
      </c>
      <c r="B8" s="1" t="s">
        <v>66</v>
      </c>
      <c r="C8">
        <v>6</v>
      </c>
      <c r="D8">
        <v>7</v>
      </c>
      <c r="E8">
        <v>0</v>
      </c>
      <c r="F8">
        <v>30633</v>
      </c>
      <c r="G8">
        <v>7724</v>
      </c>
      <c r="H8">
        <v>2600</v>
      </c>
      <c r="I8">
        <v>1413</v>
      </c>
      <c r="J8">
        <v>590</v>
      </c>
      <c r="K8">
        <v>1.9260274866973525E-2</v>
      </c>
      <c r="L8">
        <v>1.7780388882265841E-2</v>
      </c>
      <c r="M8">
        <v>2.0860717788934849E-2</v>
      </c>
      <c r="N8">
        <f>tWeekly[[#This Row],[session_conversion_rate]]-tWeekly[[#This Row],[session_conversion_rate_lower]]</f>
        <v>1.4798859847076837E-3</v>
      </c>
      <c r="O8">
        <f>tWeekly[[#This Row],[session_conversion_rate_upper]]-tWeekly[[#This Row],[session_conversion_rate]]</f>
        <v>1.6004429219613238E-3</v>
      </c>
    </row>
    <row r="9" spans="1:15" x14ac:dyDescent="0.3">
      <c r="A9" s="2">
        <v>44221</v>
      </c>
      <c r="B9" s="1" t="s">
        <v>67</v>
      </c>
      <c r="C9">
        <v>14</v>
      </c>
      <c r="D9">
        <v>7</v>
      </c>
      <c r="E9">
        <v>0</v>
      </c>
      <c r="F9">
        <v>26065</v>
      </c>
      <c r="G9">
        <v>6165</v>
      </c>
      <c r="H9">
        <v>1082</v>
      </c>
      <c r="I9">
        <v>578</v>
      </c>
      <c r="J9">
        <v>311</v>
      </c>
      <c r="K9">
        <v>1.1931709188567044E-2</v>
      </c>
      <c r="L9">
        <v>1.0683618846142558E-2</v>
      </c>
      <c r="M9">
        <v>1.332364131033365E-2</v>
      </c>
      <c r="N9">
        <f>tWeekly[[#This Row],[session_conversion_rate]]-tWeekly[[#This Row],[session_conversion_rate_lower]]</f>
        <v>1.2480903424244866E-3</v>
      </c>
      <c r="O9">
        <f>tWeekly[[#This Row],[session_conversion_rate_upper]]-tWeekly[[#This Row],[session_conversion_rate]]</f>
        <v>1.3919321217666057E-3</v>
      </c>
    </row>
    <row r="10" spans="1:15" x14ac:dyDescent="0.3">
      <c r="A10" s="2">
        <v>44144</v>
      </c>
      <c r="B10" s="1" t="s">
        <v>68</v>
      </c>
      <c r="C10">
        <v>3</v>
      </c>
      <c r="D10">
        <v>7</v>
      </c>
      <c r="E10">
        <v>0</v>
      </c>
      <c r="F10">
        <v>22177</v>
      </c>
      <c r="G10">
        <v>5526</v>
      </c>
      <c r="H10">
        <v>0</v>
      </c>
      <c r="I10">
        <v>1039</v>
      </c>
      <c r="J10">
        <v>341</v>
      </c>
      <c r="K10">
        <v>1.5376290751679669E-2</v>
      </c>
      <c r="L10">
        <v>1.383877530935574E-2</v>
      </c>
      <c r="M10">
        <v>1.7081668360588189E-2</v>
      </c>
      <c r="N10">
        <f>tWeekly[[#This Row],[session_conversion_rate]]-tWeekly[[#This Row],[session_conversion_rate_lower]]</f>
        <v>1.5375154423239289E-3</v>
      </c>
      <c r="O10">
        <f>tWeekly[[#This Row],[session_conversion_rate_upper]]-tWeekly[[#This Row],[session_conversion_rate]]</f>
        <v>1.7053776089085201E-3</v>
      </c>
    </row>
    <row r="11" spans="1:15" x14ac:dyDescent="0.3">
      <c r="A11" s="2">
        <v>44172</v>
      </c>
      <c r="B11" s="1" t="s">
        <v>69</v>
      </c>
      <c r="C11">
        <v>7</v>
      </c>
      <c r="D11">
        <v>7</v>
      </c>
      <c r="E11">
        <v>0</v>
      </c>
      <c r="F11">
        <v>38220</v>
      </c>
      <c r="G11">
        <v>8164</v>
      </c>
      <c r="H11">
        <v>2701</v>
      </c>
      <c r="I11">
        <v>1572</v>
      </c>
      <c r="J11">
        <v>770</v>
      </c>
      <c r="K11">
        <v>2.0146520146520148E-2</v>
      </c>
      <c r="L11">
        <v>1.8785404493792224E-2</v>
      </c>
      <c r="M11">
        <v>2.1604085415066344E-2</v>
      </c>
      <c r="N11">
        <f>tWeekly[[#This Row],[session_conversion_rate]]-tWeekly[[#This Row],[session_conversion_rate_lower]]</f>
        <v>1.3611156527279233E-3</v>
      </c>
      <c r="O11">
        <f>tWeekly[[#This Row],[session_conversion_rate_upper]]-tWeekly[[#This Row],[session_conversion_rate]]</f>
        <v>1.4575652685461966E-3</v>
      </c>
    </row>
    <row r="12" spans="1:15" x14ac:dyDescent="0.3">
      <c r="A12" s="2">
        <v>44214</v>
      </c>
      <c r="B12" s="1" t="s">
        <v>70</v>
      </c>
      <c r="C12">
        <v>13</v>
      </c>
      <c r="D12">
        <v>7</v>
      </c>
      <c r="E12">
        <v>0</v>
      </c>
      <c r="F12">
        <v>27142</v>
      </c>
      <c r="G12">
        <v>6441</v>
      </c>
      <c r="H12">
        <v>1199</v>
      </c>
      <c r="I12">
        <v>681</v>
      </c>
      <c r="J12">
        <v>375</v>
      </c>
      <c r="K12">
        <v>1.3816225775550807E-2</v>
      </c>
      <c r="L12">
        <v>1.2494745786206317E-2</v>
      </c>
      <c r="M12">
        <v>1.5275307318360899E-2</v>
      </c>
      <c r="N12">
        <f>tWeekly[[#This Row],[session_conversion_rate]]-tWeekly[[#This Row],[session_conversion_rate_lower]]</f>
        <v>1.3214799893444904E-3</v>
      </c>
      <c r="O12">
        <f>tWeekly[[#This Row],[session_conversion_rate_upper]]-tWeekly[[#This Row],[session_conversion_rate]]</f>
        <v>1.4590815428100912E-3</v>
      </c>
    </row>
    <row r="13" spans="1:15" x14ac:dyDescent="0.3">
      <c r="A13" s="2">
        <v>44158</v>
      </c>
      <c r="B13" s="1" t="s">
        <v>71</v>
      </c>
      <c r="C13">
        <v>5</v>
      </c>
      <c r="D13">
        <v>7</v>
      </c>
      <c r="E13">
        <v>0</v>
      </c>
      <c r="F13">
        <v>27376</v>
      </c>
      <c r="G13">
        <v>6468</v>
      </c>
      <c r="H13">
        <v>1240</v>
      </c>
      <c r="I13">
        <v>1276</v>
      </c>
      <c r="J13">
        <v>514</v>
      </c>
      <c r="K13">
        <v>1.8775569842197547E-2</v>
      </c>
      <c r="L13">
        <v>1.7233938800170434E-2</v>
      </c>
      <c r="M13">
        <v>2.0452234818873437E-2</v>
      </c>
      <c r="N13">
        <f>tWeekly[[#This Row],[session_conversion_rate]]-tWeekly[[#This Row],[session_conversion_rate_lower]]</f>
        <v>1.5416310420271126E-3</v>
      </c>
      <c r="O13">
        <f>tWeekly[[#This Row],[session_conversion_rate_upper]]-tWeekly[[#This Row],[session_conversion_rate]]</f>
        <v>1.6766649766758908E-3</v>
      </c>
    </row>
    <row r="14" spans="1:15" x14ac:dyDescent="0.3">
      <c r="A14" s="2">
        <v>44186</v>
      </c>
      <c r="B14" s="1" t="s">
        <v>72</v>
      </c>
      <c r="C14">
        <v>9</v>
      </c>
      <c r="D14">
        <v>7</v>
      </c>
      <c r="E14">
        <v>0</v>
      </c>
      <c r="F14">
        <v>21888</v>
      </c>
      <c r="G14">
        <v>4087</v>
      </c>
      <c r="H14">
        <v>981</v>
      </c>
      <c r="I14">
        <v>415</v>
      </c>
      <c r="J14">
        <v>233</v>
      </c>
      <c r="K14">
        <v>1.0645102339181287E-2</v>
      </c>
      <c r="L14">
        <v>9.3688289776914079E-3</v>
      </c>
      <c r="M14">
        <v>1.2093114265584098E-2</v>
      </c>
      <c r="N14">
        <f>tWeekly[[#This Row],[session_conversion_rate]]-tWeekly[[#This Row],[session_conversion_rate_lower]]</f>
        <v>1.2762733614898793E-3</v>
      </c>
      <c r="O14">
        <f>tWeekly[[#This Row],[session_conversion_rate_upper]]-tWeekly[[#This Row],[session_conversion_rate]]</f>
        <v>1.4480119264028112E-3</v>
      </c>
    </row>
    <row r="15" spans="1:15" x14ac:dyDescent="0.3">
      <c r="A15" s="2">
        <v>44193</v>
      </c>
      <c r="B15" s="1" t="s">
        <v>73</v>
      </c>
      <c r="C15">
        <v>10</v>
      </c>
      <c r="D15">
        <v>7</v>
      </c>
      <c r="E15">
        <v>0</v>
      </c>
      <c r="F15">
        <v>20268</v>
      </c>
      <c r="G15">
        <v>3096</v>
      </c>
      <c r="H15">
        <v>653</v>
      </c>
      <c r="I15">
        <v>261</v>
      </c>
      <c r="J15">
        <v>138</v>
      </c>
      <c r="K15">
        <v>6.8087625814091182E-3</v>
      </c>
      <c r="L15">
        <v>5.7663549977579097E-3</v>
      </c>
      <c r="M15">
        <v>8.038086964207743E-3</v>
      </c>
      <c r="N15">
        <f>tWeekly[[#This Row],[session_conversion_rate]]-tWeekly[[#This Row],[session_conversion_rate_lower]]</f>
        <v>1.0424075836512085E-3</v>
      </c>
      <c r="O15">
        <f>tWeekly[[#This Row],[session_conversion_rate_upper]]-tWeekly[[#This Row],[session_conversion_rate]]</f>
        <v>1.2293243827986248E-3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209D-EA40-41E8-9715-69D9769D4FAA}">
  <dimension ref="A1:AB113"/>
  <sheetViews>
    <sheetView workbookViewId="0">
      <selection activeCell="T9" sqref="T9"/>
    </sheetView>
  </sheetViews>
  <sheetFormatPr defaultRowHeight="16.5" x14ac:dyDescent="0.3"/>
  <cols>
    <col min="1" max="1" width="15.5" bestFit="1" customWidth="1"/>
    <col min="2" max="2" width="19.875" bestFit="1" customWidth="1"/>
    <col min="3" max="3" width="16.25" bestFit="1" customWidth="1"/>
    <col min="4" max="4" width="15" bestFit="1" customWidth="1"/>
    <col min="5" max="5" width="16.25" bestFit="1" customWidth="1"/>
    <col min="6" max="6" width="11.125" bestFit="1" customWidth="1"/>
    <col min="7" max="7" width="18.875" bestFit="1" customWidth="1"/>
    <col min="8" max="8" width="18.125" bestFit="1" customWidth="1"/>
    <col min="9" max="9" width="19.75" bestFit="1" customWidth="1"/>
    <col min="10" max="10" width="20" bestFit="1" customWidth="1"/>
    <col min="11" max="11" width="12.125" bestFit="1" customWidth="1"/>
    <col min="12" max="12" width="17.875" bestFit="1" customWidth="1"/>
    <col min="13" max="13" width="18.125" bestFit="1" customWidth="1"/>
    <col min="14" max="14" width="17.25" bestFit="1" customWidth="1"/>
    <col min="15" max="15" width="23" bestFit="1" customWidth="1"/>
    <col min="16" max="16" width="23.25" bestFit="1" customWidth="1"/>
    <col min="17" max="17" width="20.25" bestFit="1" customWidth="1"/>
    <col min="18" max="18" width="13.125" bestFit="1" customWidth="1"/>
    <col min="19" max="19" width="18.875" bestFit="1" customWidth="1"/>
    <col min="20" max="20" width="19.125" bestFit="1" customWidth="1"/>
    <col min="21" max="21" width="17.25" bestFit="1" customWidth="1"/>
    <col min="22" max="22" width="13.25" bestFit="1" customWidth="1"/>
    <col min="23" max="23" width="17.375" bestFit="1" customWidth="1"/>
    <col min="24" max="24" width="15.625" bestFit="1" customWidth="1"/>
    <col min="25" max="25" width="16.75" bestFit="1" customWidth="1"/>
    <col min="26" max="26" width="14.875" bestFit="1" customWidth="1"/>
    <col min="27" max="27" width="15.875" bestFit="1" customWidth="1"/>
    <col min="28" max="28" width="14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</row>
    <row r="2" spans="1:28" hidden="1" x14ac:dyDescent="0.3">
      <c r="A2" s="1" t="s">
        <v>22</v>
      </c>
      <c r="B2">
        <v>4</v>
      </c>
      <c r="C2" s="1" t="s">
        <v>23</v>
      </c>
      <c r="D2">
        <v>6</v>
      </c>
      <c r="E2" s="1" t="s">
        <v>24</v>
      </c>
      <c r="F2">
        <v>7</v>
      </c>
      <c r="G2">
        <v>15548</v>
      </c>
      <c r="H2">
        <v>152</v>
      </c>
      <c r="I2">
        <v>214</v>
      </c>
      <c r="J2">
        <v>152</v>
      </c>
      <c r="K2">
        <v>9.7761770002572686E-3</v>
      </c>
      <c r="L2">
        <v>8.3461811531826205E-3</v>
      </c>
      <c r="M2">
        <v>1.1448353127225371E-2</v>
      </c>
      <c r="N2">
        <v>0.71028037383177567</v>
      </c>
      <c r="O2">
        <v>0.64621868104620916</v>
      </c>
      <c r="P2">
        <v>0.76692581615917299</v>
      </c>
      <c r="Q2">
        <v>0</v>
      </c>
      <c r="R2">
        <v>-4.0190965525770707E-3</v>
      </c>
      <c r="S2">
        <v>-5.5033297795685204E-3</v>
      </c>
      <c r="T2">
        <v>-2.3028159369197949E-3</v>
      </c>
      <c r="U2">
        <v>0</v>
      </c>
      <c r="V2">
        <v>0</v>
      </c>
      <c r="W2">
        <f>tFunnel[[#This Row],[reach_rate]] -tFunnel[[#This Row],[reach_rate_lower]]</f>
        <v>1.4299958470746481E-3</v>
      </c>
      <c r="X2">
        <f>tFunnel[[#This Row],[reach_rate_upper]]-tFunnel[[#This Row],[reach_rate]]</f>
        <v>1.6721761269681019E-3</v>
      </c>
      <c r="Y2">
        <f>tFunnel[[#This Row],[step_conversion]]-tFunnel[[#This Row],[step_conversion_lower]]</f>
        <v>6.4061692785566504E-2</v>
      </c>
      <c r="Z2" s="1">
        <f>tFunnel[[#This Row],[step_conversion_upper]]-tFunnel[[#This Row],[step_conversion]]</f>
        <v>5.6645442327397322E-2</v>
      </c>
      <c r="AA2" s="1">
        <f>tFunnel[[#This Row],[gap_vs_rest]]-tFunnel[[#This Row],[gap_vs_rest_lower]]</f>
        <v>1.4842332269914497E-3</v>
      </c>
      <c r="AB2" s="1">
        <f>tFunnel[[#This Row],[gap_vs_rest_upper]]-tFunnel[[#This Row],[gap_vs_rest]]</f>
        <v>1.7162806156572757E-3</v>
      </c>
    </row>
    <row r="3" spans="1:28" hidden="1" x14ac:dyDescent="0.3">
      <c r="A3" s="1" t="s">
        <v>22</v>
      </c>
      <c r="B3">
        <v>4</v>
      </c>
      <c r="C3" s="1" t="s">
        <v>31</v>
      </c>
      <c r="D3">
        <v>99</v>
      </c>
      <c r="E3" s="1" t="s">
        <v>24</v>
      </c>
      <c r="F3">
        <v>7</v>
      </c>
      <c r="G3">
        <v>21651</v>
      </c>
      <c r="H3">
        <v>692</v>
      </c>
      <c r="I3">
        <v>956</v>
      </c>
      <c r="J3">
        <v>691</v>
      </c>
      <c r="K3">
        <v>3.1961572213754563E-2</v>
      </c>
      <c r="L3">
        <v>2.9700352047739818E-2</v>
      </c>
      <c r="M3">
        <v>3.438884765924307E-2</v>
      </c>
      <c r="N3">
        <v>0.72280334728033468</v>
      </c>
      <c r="O3">
        <v>0.69358027485604479</v>
      </c>
      <c r="P3">
        <v>0.75024302122923447</v>
      </c>
      <c r="Q3">
        <v>1.4450867052023121E-3</v>
      </c>
      <c r="R3">
        <v>1.9531232722646855E-2</v>
      </c>
      <c r="S3">
        <v>1.723806734091915E-2</v>
      </c>
      <c r="T3">
        <v>2.1986579024325676E-2</v>
      </c>
      <c r="U3">
        <v>0</v>
      </c>
      <c r="V3">
        <v>0</v>
      </c>
      <c r="W3">
        <f>tFunnel[[#This Row],[reach_rate]] -tFunnel[[#This Row],[reach_rate_lower]]</f>
        <v>2.2612201660147449E-3</v>
      </c>
      <c r="X3">
        <f>tFunnel[[#This Row],[reach_rate_upper]]-tFunnel[[#This Row],[reach_rate]]</f>
        <v>2.4272754454885068E-3</v>
      </c>
      <c r="Y3">
        <f>tFunnel[[#This Row],[step_conversion]]-tFunnel[[#This Row],[step_conversion_lower]]</f>
        <v>2.9223072424289898E-2</v>
      </c>
      <c r="Z3" s="1">
        <f>tFunnel[[#This Row],[step_conversion_upper]]-tFunnel[[#This Row],[step_conversion]]</f>
        <v>2.743967394889979E-2</v>
      </c>
      <c r="AA3" s="1">
        <f>tFunnel[[#This Row],[gap_vs_rest]]-tFunnel[[#This Row],[gap_vs_rest_lower]]</f>
        <v>2.2931653817277048E-3</v>
      </c>
      <c r="AB3" s="1">
        <f>tFunnel[[#This Row],[gap_vs_rest_upper]]-tFunnel[[#This Row],[gap_vs_rest]]</f>
        <v>2.4553463016788214E-3</v>
      </c>
    </row>
    <row r="4" spans="1:28" hidden="1" x14ac:dyDescent="0.3">
      <c r="A4" s="1" t="s">
        <v>22</v>
      </c>
      <c r="B4">
        <v>4</v>
      </c>
      <c r="C4" s="1" t="s">
        <v>32</v>
      </c>
      <c r="D4">
        <v>4</v>
      </c>
      <c r="E4" s="1" t="s">
        <v>24</v>
      </c>
      <c r="F4">
        <v>7</v>
      </c>
      <c r="G4">
        <v>51789</v>
      </c>
      <c r="H4">
        <v>514</v>
      </c>
      <c r="I4">
        <v>727</v>
      </c>
      <c r="J4">
        <v>514</v>
      </c>
      <c r="K4">
        <v>9.9248875243777637E-3</v>
      </c>
      <c r="L4">
        <v>9.1067533154400148E-3</v>
      </c>
      <c r="M4">
        <v>1.0815719169497548E-2</v>
      </c>
      <c r="N4">
        <v>0.70701513067400279</v>
      </c>
      <c r="O4">
        <v>0.67291215475082722</v>
      </c>
      <c r="P4">
        <v>0.73894187506946074</v>
      </c>
      <c r="Q4">
        <v>0</v>
      </c>
      <c r="R4">
        <v>-4.3244780184246451E-3</v>
      </c>
      <c r="S4">
        <v>-5.247626970930102E-3</v>
      </c>
      <c r="T4">
        <v>-3.3415810466643904E-3</v>
      </c>
      <c r="U4">
        <v>0</v>
      </c>
      <c r="V4">
        <v>0</v>
      </c>
      <c r="W4">
        <f>tFunnel[[#This Row],[reach_rate]] -tFunnel[[#This Row],[reach_rate_lower]]</f>
        <v>8.1813420893774892E-4</v>
      </c>
      <c r="X4">
        <f>tFunnel[[#This Row],[reach_rate_upper]]-tFunnel[[#This Row],[reach_rate]]</f>
        <v>8.908316451197839E-4</v>
      </c>
      <c r="Y4">
        <f>tFunnel[[#This Row],[step_conversion]]-tFunnel[[#This Row],[step_conversion_lower]]</f>
        <v>3.4102975923175571E-2</v>
      </c>
      <c r="Z4" s="1">
        <f>tFunnel[[#This Row],[step_conversion_upper]]-tFunnel[[#This Row],[step_conversion]]</f>
        <v>3.1926744395457951E-2</v>
      </c>
      <c r="AA4" s="1">
        <f>tFunnel[[#This Row],[gap_vs_rest]]-tFunnel[[#This Row],[gap_vs_rest_lower]]</f>
        <v>9.2314895250545682E-4</v>
      </c>
      <c r="AB4" s="1">
        <f>tFunnel[[#This Row],[gap_vs_rest_upper]]-tFunnel[[#This Row],[gap_vs_rest]]</f>
        <v>9.8289697176025476E-4</v>
      </c>
    </row>
    <row r="5" spans="1:28" hidden="1" x14ac:dyDescent="0.3">
      <c r="A5" s="1" t="s">
        <v>22</v>
      </c>
      <c r="B5">
        <v>4</v>
      </c>
      <c r="C5" s="1" t="s">
        <v>33</v>
      </c>
      <c r="D5">
        <v>3</v>
      </c>
      <c r="E5" s="1" t="s">
        <v>24</v>
      </c>
      <c r="F5">
        <v>7</v>
      </c>
      <c r="G5">
        <v>62331</v>
      </c>
      <c r="H5">
        <v>1050</v>
      </c>
      <c r="I5">
        <v>1455</v>
      </c>
      <c r="J5">
        <v>1050</v>
      </c>
      <c r="K5">
        <v>1.68455503681956E-2</v>
      </c>
      <c r="L5">
        <v>1.5864619721823629E-2</v>
      </c>
      <c r="M5">
        <v>1.7886030951910402E-2</v>
      </c>
      <c r="N5">
        <v>0.72164948453608246</v>
      </c>
      <c r="O5">
        <v>0.69805973066962579</v>
      </c>
      <c r="P5">
        <v>0.74407193214630107</v>
      </c>
      <c r="Q5">
        <v>0</v>
      </c>
      <c r="R5">
        <v>3.9116791749581759E-3</v>
      </c>
      <c r="S5">
        <v>2.8464309388207478E-3</v>
      </c>
      <c r="T5">
        <v>5.0273365210555289E-3</v>
      </c>
      <c r="U5">
        <v>0</v>
      </c>
      <c r="V5">
        <v>0</v>
      </c>
      <c r="W5">
        <f>tFunnel[[#This Row],[reach_rate]] -tFunnel[[#This Row],[reach_rate_lower]]</f>
        <v>9.8093064637197122E-4</v>
      </c>
      <c r="X5">
        <f>tFunnel[[#This Row],[reach_rate_upper]]-tFunnel[[#This Row],[reach_rate]]</f>
        <v>1.0404805837148021E-3</v>
      </c>
      <c r="Y5">
        <f>tFunnel[[#This Row],[step_conversion]]-tFunnel[[#This Row],[step_conversion_lower]]</f>
        <v>2.3589753866456675E-2</v>
      </c>
      <c r="Z5" s="1">
        <f>tFunnel[[#This Row],[step_conversion_upper]]-tFunnel[[#This Row],[step_conversion]]</f>
        <v>2.242244761021861E-2</v>
      </c>
      <c r="AA5" s="1">
        <f>tFunnel[[#This Row],[gap_vs_rest]]-tFunnel[[#This Row],[gap_vs_rest_lower]]</f>
        <v>1.0652482361374282E-3</v>
      </c>
      <c r="AB5" s="1">
        <f>tFunnel[[#This Row],[gap_vs_rest_upper]]-tFunnel[[#This Row],[gap_vs_rest]]</f>
        <v>1.115657346097353E-3</v>
      </c>
    </row>
    <row r="6" spans="1:28" hidden="1" x14ac:dyDescent="0.3">
      <c r="A6" s="1" t="s">
        <v>22</v>
      </c>
      <c r="B6">
        <v>4</v>
      </c>
      <c r="C6" s="1" t="s">
        <v>34</v>
      </c>
      <c r="D6">
        <v>2</v>
      </c>
      <c r="E6" s="1" t="s">
        <v>24</v>
      </c>
      <c r="F6">
        <v>7</v>
      </c>
      <c r="G6">
        <v>82493</v>
      </c>
      <c r="H6">
        <v>1077</v>
      </c>
      <c r="I6">
        <v>1491</v>
      </c>
      <c r="J6">
        <v>1076</v>
      </c>
      <c r="K6">
        <v>1.305565320693877E-2</v>
      </c>
      <c r="L6">
        <v>1.2303400253954679E-2</v>
      </c>
      <c r="M6">
        <v>1.3853255209719327E-2</v>
      </c>
      <c r="N6">
        <v>0.72166331321260901</v>
      </c>
      <c r="O6">
        <v>0.69836681585376992</v>
      </c>
      <c r="P6">
        <v>0.74382054526924624</v>
      </c>
      <c r="Q6">
        <v>9.2850510677808728E-4</v>
      </c>
      <c r="R6">
        <v>-7.3421786545622113E-4</v>
      </c>
      <c r="S6">
        <v>-1.6078621885243743E-3</v>
      </c>
      <c r="T6">
        <v>1.7218857536819719E-4</v>
      </c>
      <c r="U6">
        <v>0</v>
      </c>
      <c r="V6">
        <v>0</v>
      </c>
      <c r="W6">
        <f>tFunnel[[#This Row],[reach_rate]] -tFunnel[[#This Row],[reach_rate_lower]]</f>
        <v>7.5225295298409108E-4</v>
      </c>
      <c r="X6">
        <f>tFunnel[[#This Row],[reach_rate_upper]]-tFunnel[[#This Row],[reach_rate]]</f>
        <v>7.9760200278055672E-4</v>
      </c>
      <c r="Y6">
        <f>tFunnel[[#This Row],[step_conversion]]-tFunnel[[#This Row],[step_conversion_lower]]</f>
        <v>2.3296497358839097E-2</v>
      </c>
      <c r="Z6" s="1">
        <f>tFunnel[[#This Row],[step_conversion_upper]]-tFunnel[[#This Row],[step_conversion]]</f>
        <v>2.2157232056637222E-2</v>
      </c>
      <c r="AA6" s="1">
        <f>tFunnel[[#This Row],[gap_vs_rest]]-tFunnel[[#This Row],[gap_vs_rest_lower]]</f>
        <v>8.736443230681532E-4</v>
      </c>
      <c r="AB6" s="1">
        <f>tFunnel[[#This Row],[gap_vs_rest_upper]]-tFunnel[[#This Row],[gap_vs_rest]]</f>
        <v>9.0640644082441832E-4</v>
      </c>
    </row>
    <row r="7" spans="1:28" hidden="1" x14ac:dyDescent="0.3">
      <c r="A7" s="1" t="s">
        <v>22</v>
      </c>
      <c r="B7">
        <v>4</v>
      </c>
      <c r="C7" s="1" t="s">
        <v>35</v>
      </c>
      <c r="D7">
        <v>1</v>
      </c>
      <c r="E7" s="1" t="s">
        <v>24</v>
      </c>
      <c r="F7">
        <v>7</v>
      </c>
      <c r="G7">
        <v>121780</v>
      </c>
      <c r="H7">
        <v>1358</v>
      </c>
      <c r="I7">
        <v>1943</v>
      </c>
      <c r="J7">
        <v>1357</v>
      </c>
      <c r="K7">
        <v>1.1151256363934966E-2</v>
      </c>
      <c r="L7">
        <v>1.0576708206761621E-2</v>
      </c>
      <c r="M7">
        <v>1.1756644283187671E-2</v>
      </c>
      <c r="N7">
        <v>0.69840452907874417</v>
      </c>
      <c r="O7">
        <v>0.67762249919570383</v>
      </c>
      <c r="P7">
        <v>0.71840358525137582</v>
      </c>
      <c r="Q7">
        <v>7.3637702503681884E-4</v>
      </c>
      <c r="R7">
        <v>-3.7538810969310298E-3</v>
      </c>
      <c r="S7">
        <v>-4.5149955769601853E-3</v>
      </c>
      <c r="T7">
        <v>-2.9792686321218403E-3</v>
      </c>
      <c r="U7">
        <v>0</v>
      </c>
      <c r="V7">
        <v>0</v>
      </c>
      <c r="W7">
        <f>tFunnel[[#This Row],[reach_rate]] -tFunnel[[#This Row],[reach_rate_lower]]</f>
        <v>5.745481571733449E-4</v>
      </c>
      <c r="X7">
        <f>tFunnel[[#This Row],[reach_rate_upper]]-tFunnel[[#This Row],[reach_rate]]</f>
        <v>6.0538791925270584E-4</v>
      </c>
      <c r="Y7">
        <f>tFunnel[[#This Row],[step_conversion]]-tFunnel[[#This Row],[step_conversion_lower]]</f>
        <v>2.0782029883040343E-2</v>
      </c>
      <c r="Z7" s="1">
        <f>tFunnel[[#This Row],[step_conversion_upper]]-tFunnel[[#This Row],[step_conversion]]</f>
        <v>1.9999056172631646E-2</v>
      </c>
      <c r="AA7" s="1">
        <f>tFunnel[[#This Row],[gap_vs_rest]]-tFunnel[[#This Row],[gap_vs_rest_lower]]</f>
        <v>7.6111448002915555E-4</v>
      </c>
      <c r="AB7" s="1">
        <f>tFunnel[[#This Row],[gap_vs_rest_upper]]-tFunnel[[#This Row],[gap_vs_rest]]</f>
        <v>7.7461246480918945E-4</v>
      </c>
    </row>
    <row r="8" spans="1:28" hidden="1" x14ac:dyDescent="0.3">
      <c r="A8" s="1" t="s">
        <v>36</v>
      </c>
      <c r="B8">
        <v>3</v>
      </c>
      <c r="C8" s="1" t="s">
        <v>31</v>
      </c>
      <c r="D8">
        <v>99</v>
      </c>
      <c r="E8" s="1" t="s">
        <v>24</v>
      </c>
      <c r="F8">
        <v>7</v>
      </c>
      <c r="G8">
        <v>803</v>
      </c>
      <c r="H8">
        <v>11</v>
      </c>
      <c r="I8">
        <v>21</v>
      </c>
      <c r="J8">
        <v>11</v>
      </c>
      <c r="K8">
        <v>1.3698630136986301E-2</v>
      </c>
      <c r="L8">
        <v>7.6660303127121616E-3</v>
      </c>
      <c r="M8">
        <v>2.4361896111799747E-2</v>
      </c>
      <c r="N8">
        <v>0.52380952380952384</v>
      </c>
      <c r="O8">
        <v>0.32369534446905168</v>
      </c>
      <c r="P8">
        <v>0.71655994024584635</v>
      </c>
      <c r="Q8">
        <v>0</v>
      </c>
      <c r="R8">
        <v>7.9267642658685869E-5</v>
      </c>
      <c r="S8">
        <v>-5.965712618760625E-3</v>
      </c>
      <c r="T8">
        <v>1.0749166069697169E-2</v>
      </c>
      <c r="U8">
        <v>0</v>
      </c>
      <c r="V8">
        <v>1</v>
      </c>
      <c r="W8">
        <f>tFunnel[[#This Row],[reach_rate]] -tFunnel[[#This Row],[reach_rate_lower]]</f>
        <v>6.032599824274139E-3</v>
      </c>
      <c r="X8">
        <f>tFunnel[[#This Row],[reach_rate_upper]]-tFunnel[[#This Row],[reach_rate]]</f>
        <v>1.0663265974813447E-2</v>
      </c>
      <c r="Y8">
        <f>tFunnel[[#This Row],[step_conversion]]-tFunnel[[#This Row],[step_conversion_lower]]</f>
        <v>0.20011417934047215</v>
      </c>
      <c r="Z8" s="1">
        <f>tFunnel[[#This Row],[step_conversion_upper]]-tFunnel[[#This Row],[step_conversion]]</f>
        <v>0.19275041643632251</v>
      </c>
      <c r="AA8" s="1">
        <f>tFunnel[[#This Row],[gap_vs_rest]]-tFunnel[[#This Row],[gap_vs_rest_lower]]</f>
        <v>6.0449802614193108E-3</v>
      </c>
      <c r="AB8" s="1">
        <f>tFunnel[[#This Row],[gap_vs_rest_upper]]-tFunnel[[#This Row],[gap_vs_rest]]</f>
        <v>1.0669898427038483E-2</v>
      </c>
    </row>
    <row r="9" spans="1:28" hidden="1" x14ac:dyDescent="0.3">
      <c r="A9" s="1" t="s">
        <v>36</v>
      </c>
      <c r="B9">
        <v>3</v>
      </c>
      <c r="C9" s="1" t="s">
        <v>37</v>
      </c>
      <c r="D9">
        <v>5</v>
      </c>
      <c r="E9" s="1" t="s">
        <v>24</v>
      </c>
      <c r="F9">
        <v>7</v>
      </c>
      <c r="G9">
        <v>3664</v>
      </c>
      <c r="H9">
        <v>43</v>
      </c>
      <c r="I9">
        <v>69</v>
      </c>
      <c r="J9">
        <v>43</v>
      </c>
      <c r="K9">
        <v>1.1735807860262008E-2</v>
      </c>
      <c r="L9">
        <v>8.7246026449604719E-3</v>
      </c>
      <c r="M9">
        <v>1.5769765470039221E-2</v>
      </c>
      <c r="N9">
        <v>0.62318840579710144</v>
      </c>
      <c r="O9">
        <v>0.5052188634067315</v>
      </c>
      <c r="P9">
        <v>0.72816471046846454</v>
      </c>
      <c r="Q9">
        <v>0</v>
      </c>
      <c r="R9">
        <v>-1.9033456029463759E-3</v>
      </c>
      <c r="S9">
        <v>-4.9395155407503527E-3</v>
      </c>
      <c r="T9">
        <v>2.1482771386950317E-3</v>
      </c>
      <c r="U9">
        <v>0</v>
      </c>
      <c r="V9">
        <v>1</v>
      </c>
      <c r="W9">
        <f>tFunnel[[#This Row],[reach_rate]] -tFunnel[[#This Row],[reach_rate_lower]]</f>
        <v>3.0112052153015365E-3</v>
      </c>
      <c r="X9">
        <f>tFunnel[[#This Row],[reach_rate_upper]]-tFunnel[[#This Row],[reach_rate]]</f>
        <v>4.0339576097772126E-3</v>
      </c>
      <c r="Y9">
        <f>tFunnel[[#This Row],[step_conversion]]-tFunnel[[#This Row],[step_conversion_lower]]</f>
        <v>0.11796954239036994</v>
      </c>
      <c r="Z9" s="1">
        <f>tFunnel[[#This Row],[step_conversion_upper]]-tFunnel[[#This Row],[step_conversion]]</f>
        <v>0.1049763046713631</v>
      </c>
      <c r="AA9" s="1">
        <f>tFunnel[[#This Row],[gap_vs_rest]]-tFunnel[[#This Row],[gap_vs_rest_lower]]</f>
        <v>3.0361699378039769E-3</v>
      </c>
      <c r="AB9" s="1">
        <f>tFunnel[[#This Row],[gap_vs_rest_upper]]-tFunnel[[#This Row],[gap_vs_rest]]</f>
        <v>4.0516227416414075E-3</v>
      </c>
    </row>
    <row r="10" spans="1:28" hidden="1" x14ac:dyDescent="0.3">
      <c r="A10" s="1" t="s">
        <v>36</v>
      </c>
      <c r="B10">
        <v>3</v>
      </c>
      <c r="C10" s="1" t="s">
        <v>38</v>
      </c>
      <c r="D10">
        <v>4</v>
      </c>
      <c r="E10" s="1" t="s">
        <v>24</v>
      </c>
      <c r="F10">
        <v>7</v>
      </c>
      <c r="G10">
        <v>3745</v>
      </c>
      <c r="H10">
        <v>51</v>
      </c>
      <c r="I10">
        <v>77</v>
      </c>
      <c r="J10">
        <v>51</v>
      </c>
      <c r="K10">
        <v>1.3618157543391188E-2</v>
      </c>
      <c r="L10">
        <v>1.0373165939012786E-2</v>
      </c>
      <c r="M10">
        <v>1.7859945554819366E-2</v>
      </c>
      <c r="N10">
        <v>0.66233766233766234</v>
      </c>
      <c r="O10">
        <v>0.55124648219231043</v>
      </c>
      <c r="P10">
        <v>0.75800078209455612</v>
      </c>
      <c r="Q10">
        <v>0</v>
      </c>
      <c r="R10">
        <v>-1.3986841736340905E-6</v>
      </c>
      <c r="S10">
        <v>-3.2695427979208503E-3</v>
      </c>
      <c r="T10">
        <v>4.2571721324902818E-3</v>
      </c>
      <c r="U10">
        <v>0</v>
      </c>
      <c r="V10">
        <v>1</v>
      </c>
      <c r="W10">
        <f>tFunnel[[#This Row],[reach_rate]] -tFunnel[[#This Row],[reach_rate_lower]]</f>
        <v>3.2449916043784024E-3</v>
      </c>
      <c r="X10">
        <f>tFunnel[[#This Row],[reach_rate_upper]]-tFunnel[[#This Row],[reach_rate]]</f>
        <v>4.2417880114281777E-3</v>
      </c>
      <c r="Y10">
        <f>tFunnel[[#This Row],[step_conversion]]-tFunnel[[#This Row],[step_conversion_lower]]</f>
        <v>0.11109118014535191</v>
      </c>
      <c r="Z10" s="1">
        <f>tFunnel[[#This Row],[step_conversion_upper]]-tFunnel[[#This Row],[step_conversion]]</f>
        <v>9.5663119756893789E-2</v>
      </c>
      <c r="AA10" s="1">
        <f>tFunnel[[#This Row],[gap_vs_rest]]-tFunnel[[#This Row],[gap_vs_rest_lower]]</f>
        <v>3.2681441137472162E-3</v>
      </c>
      <c r="AB10" s="1">
        <f>tFunnel[[#This Row],[gap_vs_rest_upper]]-tFunnel[[#This Row],[gap_vs_rest]]</f>
        <v>4.2585708166639159E-3</v>
      </c>
    </row>
    <row r="11" spans="1:28" hidden="1" x14ac:dyDescent="0.3">
      <c r="A11" s="1" t="s">
        <v>36</v>
      </c>
      <c r="B11">
        <v>3</v>
      </c>
      <c r="C11" s="1" t="s">
        <v>39</v>
      </c>
      <c r="D11">
        <v>3</v>
      </c>
      <c r="E11" s="1" t="s">
        <v>24</v>
      </c>
      <c r="F11">
        <v>7</v>
      </c>
      <c r="G11">
        <v>66291</v>
      </c>
      <c r="H11">
        <v>898</v>
      </c>
      <c r="I11">
        <v>1264</v>
      </c>
      <c r="J11">
        <v>897</v>
      </c>
      <c r="K11">
        <v>1.3546333589778402E-2</v>
      </c>
      <c r="L11">
        <v>1.26941209205058E-2</v>
      </c>
      <c r="M11">
        <v>1.4454921437452466E-2</v>
      </c>
      <c r="N11">
        <v>0.70965189873417722</v>
      </c>
      <c r="O11">
        <v>0.68402253542663272</v>
      </c>
      <c r="P11">
        <v>0.73401080485209225</v>
      </c>
      <c r="Q11">
        <v>1.1135857461024498E-3</v>
      </c>
      <c r="R11">
        <v>-8.9982911028714876E-5</v>
      </c>
      <c r="S11">
        <v>-1.0441349554824854E-3</v>
      </c>
      <c r="T11">
        <v>9.0939359590286296E-4</v>
      </c>
      <c r="U11">
        <v>0</v>
      </c>
      <c r="V11">
        <v>0</v>
      </c>
      <c r="W11">
        <f>tFunnel[[#This Row],[reach_rate]] -tFunnel[[#This Row],[reach_rate_lower]]</f>
        <v>8.5221266927260238E-4</v>
      </c>
      <c r="X11">
        <f>tFunnel[[#This Row],[reach_rate_upper]]-tFunnel[[#This Row],[reach_rate]]</f>
        <v>9.0858784767406352E-4</v>
      </c>
      <c r="Y11">
        <f>tFunnel[[#This Row],[step_conversion]]-tFunnel[[#This Row],[step_conversion_lower]]</f>
        <v>2.5629363307544506E-2</v>
      </c>
      <c r="Z11" s="1">
        <f>tFunnel[[#This Row],[step_conversion_upper]]-tFunnel[[#This Row],[step_conversion]]</f>
        <v>2.4358906117915025E-2</v>
      </c>
      <c r="AA11" s="1">
        <f>tFunnel[[#This Row],[gap_vs_rest]]-tFunnel[[#This Row],[gap_vs_rest_lower]]</f>
        <v>9.5415204445377052E-4</v>
      </c>
      <c r="AB11" s="1">
        <f>tFunnel[[#This Row],[gap_vs_rest_upper]]-tFunnel[[#This Row],[gap_vs_rest]]</f>
        <v>9.9937650693157783E-4</v>
      </c>
    </row>
    <row r="12" spans="1:28" hidden="1" x14ac:dyDescent="0.3">
      <c r="A12" s="1" t="s">
        <v>36</v>
      </c>
      <c r="B12">
        <v>3</v>
      </c>
      <c r="C12" s="1" t="s">
        <v>40</v>
      </c>
      <c r="D12">
        <v>2</v>
      </c>
      <c r="E12" s="1" t="s">
        <v>24</v>
      </c>
      <c r="F12">
        <v>7</v>
      </c>
      <c r="G12">
        <v>84481</v>
      </c>
      <c r="H12">
        <v>1125</v>
      </c>
      <c r="I12">
        <v>1574</v>
      </c>
      <c r="J12">
        <v>1125</v>
      </c>
      <c r="K12">
        <v>1.3316603733383838E-2</v>
      </c>
      <c r="L12">
        <v>1.256547868744308E-2</v>
      </c>
      <c r="M12">
        <v>1.4111986997075476E-2</v>
      </c>
      <c r="N12">
        <v>0.71473951715374839</v>
      </c>
      <c r="O12">
        <v>0.69193078162930888</v>
      </c>
      <c r="P12">
        <v>0.73650263048250764</v>
      </c>
      <c r="Q12">
        <v>0</v>
      </c>
      <c r="R12">
        <v>-3.9733631331290327E-4</v>
      </c>
      <c r="S12">
        <v>-1.2702435153077733E-3</v>
      </c>
      <c r="T12">
        <v>5.0728824744618361E-4</v>
      </c>
      <c r="U12">
        <v>0</v>
      </c>
      <c r="V12">
        <v>0</v>
      </c>
      <c r="W12">
        <f>tFunnel[[#This Row],[reach_rate]] -tFunnel[[#This Row],[reach_rate_lower]]</f>
        <v>7.511250459407582E-4</v>
      </c>
      <c r="X12">
        <f>tFunnel[[#This Row],[reach_rate_upper]]-tFunnel[[#This Row],[reach_rate]]</f>
        <v>7.9538326369163817E-4</v>
      </c>
      <c r="Y12">
        <f>tFunnel[[#This Row],[step_conversion]]-tFunnel[[#This Row],[step_conversion_lower]]</f>
        <v>2.2808735524439516E-2</v>
      </c>
      <c r="Z12" s="1">
        <f>tFunnel[[#This Row],[step_conversion_upper]]-tFunnel[[#This Row],[step_conversion]]</f>
        <v>2.1763113328759243E-2</v>
      </c>
      <c r="AA12" s="1">
        <f>tFunnel[[#This Row],[gap_vs_rest]]-tFunnel[[#This Row],[gap_vs_rest_lower]]</f>
        <v>8.7290720199487007E-4</v>
      </c>
      <c r="AB12" s="1">
        <f>tFunnel[[#This Row],[gap_vs_rest_upper]]-tFunnel[[#This Row],[gap_vs_rest]]</f>
        <v>9.0462456075908687E-4</v>
      </c>
    </row>
    <row r="13" spans="1:28" hidden="1" x14ac:dyDescent="0.3">
      <c r="A13" s="1" t="s">
        <v>36</v>
      </c>
      <c r="B13">
        <v>3</v>
      </c>
      <c r="C13" s="1" t="s">
        <v>41</v>
      </c>
      <c r="D13">
        <v>1</v>
      </c>
      <c r="E13" s="1" t="s">
        <v>24</v>
      </c>
      <c r="F13">
        <v>7</v>
      </c>
      <c r="G13">
        <v>196608</v>
      </c>
      <c r="H13">
        <v>2715</v>
      </c>
      <c r="I13">
        <v>3781</v>
      </c>
      <c r="J13">
        <v>2713</v>
      </c>
      <c r="K13">
        <v>1.38092041015625E-2</v>
      </c>
      <c r="L13">
        <v>1.3302784243916822E-2</v>
      </c>
      <c r="M13">
        <v>1.4334622631282556E-2</v>
      </c>
      <c r="N13">
        <v>0.71753504363924892</v>
      </c>
      <c r="O13">
        <v>0.70296994832815551</v>
      </c>
      <c r="P13">
        <v>0.7316585606520386</v>
      </c>
      <c r="Q13">
        <v>7.3664825046040514E-4</v>
      </c>
      <c r="R13">
        <v>4.2420938511304566E-4</v>
      </c>
      <c r="S13">
        <v>-3.43320700646265E-4</v>
      </c>
      <c r="T13">
        <v>1.1871865768029056E-3</v>
      </c>
      <c r="U13">
        <v>0</v>
      </c>
      <c r="V13">
        <v>0</v>
      </c>
      <c r="W13">
        <f>tFunnel[[#This Row],[reach_rate]] -tFunnel[[#This Row],[reach_rate_lower]]</f>
        <v>5.0641985764567771E-4</v>
      </c>
      <c r="X13">
        <f>tFunnel[[#This Row],[reach_rate_upper]]-tFunnel[[#This Row],[reach_rate]]</f>
        <v>5.2541852972005573E-4</v>
      </c>
      <c r="Y13">
        <f>tFunnel[[#This Row],[step_conversion]]-tFunnel[[#This Row],[step_conversion_lower]]</f>
        <v>1.4565095311093401E-2</v>
      </c>
      <c r="Z13" s="1">
        <f>tFunnel[[#This Row],[step_conversion_upper]]-tFunnel[[#This Row],[step_conversion]]</f>
        <v>1.4123517012789688E-2</v>
      </c>
      <c r="AA13" s="1">
        <f>tFunnel[[#This Row],[gap_vs_rest]]-tFunnel[[#This Row],[gap_vs_rest_lower]]</f>
        <v>7.6753008575931067E-4</v>
      </c>
      <c r="AB13" s="1">
        <f>tFunnel[[#This Row],[gap_vs_rest_upper]]-tFunnel[[#This Row],[gap_vs_rest]]</f>
        <v>7.6297719168985992E-4</v>
      </c>
    </row>
    <row r="14" spans="1:28" hidden="1" x14ac:dyDescent="0.3">
      <c r="A14" s="1" t="s">
        <v>42</v>
      </c>
      <c r="B14">
        <v>2</v>
      </c>
      <c r="C14" s="1" t="s">
        <v>43</v>
      </c>
      <c r="D14">
        <v>3</v>
      </c>
      <c r="E14" s="1" t="s">
        <v>24</v>
      </c>
      <c r="F14">
        <v>7</v>
      </c>
      <c r="G14">
        <v>7886</v>
      </c>
      <c r="H14">
        <v>101</v>
      </c>
      <c r="I14">
        <v>143</v>
      </c>
      <c r="J14">
        <v>101</v>
      </c>
      <c r="K14">
        <v>1.2807506974384986E-2</v>
      </c>
      <c r="L14">
        <v>1.0552284555670151E-2</v>
      </c>
      <c r="M14">
        <v>1.5537144484705312E-2</v>
      </c>
      <c r="N14">
        <v>0.70629370629370625</v>
      </c>
      <c r="O14">
        <v>0.62703251553429329</v>
      </c>
      <c r="P14">
        <v>0.77476136781097182</v>
      </c>
      <c r="Q14">
        <v>0</v>
      </c>
      <c r="R14">
        <v>-8.3045153078892611E-4</v>
      </c>
      <c r="S14">
        <v>-3.1193038531102139E-3</v>
      </c>
      <c r="T14">
        <v>1.9255330823575237E-3</v>
      </c>
      <c r="U14">
        <v>0</v>
      </c>
      <c r="V14">
        <v>0</v>
      </c>
      <c r="W14">
        <f>tFunnel[[#This Row],[reach_rate]] -tFunnel[[#This Row],[reach_rate_lower]]</f>
        <v>2.2552224187148348E-3</v>
      </c>
      <c r="X14">
        <f>tFunnel[[#This Row],[reach_rate_upper]]-tFunnel[[#This Row],[reach_rate]]</f>
        <v>2.729637510320326E-3</v>
      </c>
      <c r="Y14">
        <f>tFunnel[[#This Row],[step_conversion]]-tFunnel[[#This Row],[step_conversion_lower]]</f>
        <v>7.9261190759412958E-2</v>
      </c>
      <c r="Z14" s="1">
        <f>tFunnel[[#This Row],[step_conversion_upper]]-tFunnel[[#This Row],[step_conversion]]</f>
        <v>6.8467661517265577E-2</v>
      </c>
      <c r="AA14" s="1">
        <f>tFunnel[[#This Row],[gap_vs_rest]]-tFunnel[[#This Row],[gap_vs_rest_lower]]</f>
        <v>2.2888523223212878E-3</v>
      </c>
      <c r="AB14" s="1">
        <f>tFunnel[[#This Row],[gap_vs_rest_upper]]-tFunnel[[#This Row],[gap_vs_rest]]</f>
        <v>2.7559846131464498E-3</v>
      </c>
    </row>
    <row r="15" spans="1:28" hidden="1" x14ac:dyDescent="0.3">
      <c r="A15" s="1" t="s">
        <v>42</v>
      </c>
      <c r="B15">
        <v>2</v>
      </c>
      <c r="C15" s="1" t="s">
        <v>44</v>
      </c>
      <c r="D15">
        <v>2</v>
      </c>
      <c r="E15" s="1" t="s">
        <v>24</v>
      </c>
      <c r="F15">
        <v>7</v>
      </c>
      <c r="G15">
        <v>141352</v>
      </c>
      <c r="H15">
        <v>2004</v>
      </c>
      <c r="I15">
        <v>2807</v>
      </c>
      <c r="J15">
        <v>2002</v>
      </c>
      <c r="K15">
        <v>1.4177372799818892E-2</v>
      </c>
      <c r="L15">
        <v>1.3574139246163613E-2</v>
      </c>
      <c r="M15">
        <v>1.480701159611192E-2</v>
      </c>
      <c r="N15">
        <v>0.71321695760598502</v>
      </c>
      <c r="O15">
        <v>0.69620374721302092</v>
      </c>
      <c r="P15">
        <v>0.72964737869018148</v>
      </c>
      <c r="Q15">
        <v>9.9800399201596798E-4</v>
      </c>
      <c r="R15">
        <v>9.2587914783980388E-4</v>
      </c>
      <c r="S15">
        <v>1.4680848253679634E-4</v>
      </c>
      <c r="T15">
        <v>1.7149285374798593E-3</v>
      </c>
      <c r="U15">
        <v>0</v>
      </c>
      <c r="V15">
        <v>0</v>
      </c>
      <c r="W15">
        <f>tFunnel[[#This Row],[reach_rate]] -tFunnel[[#This Row],[reach_rate_lower]]</f>
        <v>6.032335536552795E-4</v>
      </c>
      <c r="X15">
        <f>tFunnel[[#This Row],[reach_rate_upper]]-tFunnel[[#This Row],[reach_rate]]</f>
        <v>6.2963879629302812E-4</v>
      </c>
      <c r="Y15">
        <f>tFunnel[[#This Row],[step_conversion]]-tFunnel[[#This Row],[step_conversion_lower]]</f>
        <v>1.7013210392964107E-2</v>
      </c>
      <c r="Z15" s="1">
        <f>tFunnel[[#This Row],[step_conversion_upper]]-tFunnel[[#This Row],[step_conversion]]</f>
        <v>1.6430421084196456E-2</v>
      </c>
      <c r="AA15" s="1">
        <f>tFunnel[[#This Row],[gap_vs_rest]]-tFunnel[[#This Row],[gap_vs_rest_lower]]</f>
        <v>7.7907066530300754E-4</v>
      </c>
      <c r="AB15" s="1">
        <f>tFunnel[[#This Row],[gap_vs_rest_upper]]-tFunnel[[#This Row],[gap_vs_rest]]</f>
        <v>7.8904938964005546E-4</v>
      </c>
    </row>
    <row r="16" spans="1:28" hidden="1" x14ac:dyDescent="0.3">
      <c r="A16" s="1" t="s">
        <v>42</v>
      </c>
      <c r="B16">
        <v>2</v>
      </c>
      <c r="C16" s="1" t="s">
        <v>45</v>
      </c>
      <c r="D16">
        <v>1</v>
      </c>
      <c r="E16" s="1" t="s">
        <v>24</v>
      </c>
      <c r="F16">
        <v>7</v>
      </c>
      <c r="G16">
        <v>206354</v>
      </c>
      <c r="H16">
        <v>2738</v>
      </c>
      <c r="I16">
        <v>3836</v>
      </c>
      <c r="J16">
        <v>2737</v>
      </c>
      <c r="K16">
        <v>1.3268460994213827E-2</v>
      </c>
      <c r="L16">
        <v>1.2783756507450894E-2</v>
      </c>
      <c r="M16">
        <v>1.3771287004056301E-2</v>
      </c>
      <c r="N16">
        <v>0.71350364963503654</v>
      </c>
      <c r="O16">
        <v>0.69898803108348351</v>
      </c>
      <c r="P16">
        <v>0.72759208102281614</v>
      </c>
      <c r="Q16">
        <v>3.652300949598247E-4</v>
      </c>
      <c r="R16">
        <v>-8.3652567138072648E-4</v>
      </c>
      <c r="S16">
        <v>-1.6163709664855485E-3</v>
      </c>
      <c r="T16">
        <v>-6.4439339585754601E-5</v>
      </c>
      <c r="U16">
        <v>0</v>
      </c>
      <c r="V16">
        <v>0</v>
      </c>
      <c r="W16">
        <f>tFunnel[[#This Row],[reach_rate]] -tFunnel[[#This Row],[reach_rate_lower]]</f>
        <v>4.8470448676293278E-4</v>
      </c>
      <c r="X16">
        <f>tFunnel[[#This Row],[reach_rate_upper]]-tFunnel[[#This Row],[reach_rate]]</f>
        <v>5.0282600984247368E-4</v>
      </c>
      <c r="Y16">
        <f>tFunnel[[#This Row],[step_conversion]]-tFunnel[[#This Row],[step_conversion_lower]]</f>
        <v>1.4515618551553033E-2</v>
      </c>
      <c r="Z16" s="1">
        <f>tFunnel[[#This Row],[step_conversion_upper]]-tFunnel[[#This Row],[step_conversion]]</f>
        <v>1.4088431387779599E-2</v>
      </c>
      <c r="AA16" s="1">
        <f>tFunnel[[#This Row],[gap_vs_rest]]-tFunnel[[#This Row],[gap_vs_rest_lower]]</f>
        <v>7.7984529510482202E-4</v>
      </c>
      <c r="AB16" s="1">
        <f>tFunnel[[#This Row],[gap_vs_rest_upper]]-tFunnel[[#This Row],[gap_vs_rest]]</f>
        <v>7.7208633179497188E-4</v>
      </c>
    </row>
    <row r="17" spans="1:28" x14ac:dyDescent="0.3">
      <c r="A17" s="1" t="s">
        <v>46</v>
      </c>
      <c r="B17">
        <v>1</v>
      </c>
      <c r="C17" s="1" t="s">
        <v>47</v>
      </c>
      <c r="D17">
        <v>0</v>
      </c>
      <c r="E17" s="1" t="s">
        <v>24</v>
      </c>
      <c r="F17">
        <v>7</v>
      </c>
      <c r="G17">
        <v>355592</v>
      </c>
      <c r="H17">
        <v>4843</v>
      </c>
      <c r="I17">
        <v>6786</v>
      </c>
      <c r="J17">
        <v>4840</v>
      </c>
      <c r="K17">
        <v>1.3619541496996557E-2</v>
      </c>
      <c r="L17">
        <v>1.3243804964950839E-2</v>
      </c>
      <c r="M17">
        <v>1.40057866476152E-2</v>
      </c>
      <c r="N17">
        <v>0.71323312702623043</v>
      </c>
      <c r="O17">
        <v>0.70235462848285868</v>
      </c>
      <c r="P17">
        <v>0.72387034562380015</v>
      </c>
      <c r="Q17">
        <v>6.1945075366508359E-4</v>
      </c>
      <c r="U17">
        <v>0</v>
      </c>
      <c r="V17">
        <v>0</v>
      </c>
      <c r="W17">
        <f>tFunnel[[#This Row],[reach_rate]] -tFunnel[[#This Row],[reach_rate_lower]]</f>
        <v>3.7573653204571802E-4</v>
      </c>
      <c r="X17">
        <f>tFunnel[[#This Row],[reach_rate_upper]]-tFunnel[[#This Row],[reach_rate]]</f>
        <v>3.862451506186429E-4</v>
      </c>
      <c r="Y17">
        <f>tFunnel[[#This Row],[step_conversion]]-tFunnel[[#This Row],[step_conversion_lower]]</f>
        <v>1.0878498543371751E-2</v>
      </c>
      <c r="Z17" s="1">
        <f>tFunnel[[#This Row],[step_conversion_upper]]-tFunnel[[#This Row],[step_conversion]]</f>
        <v>1.063721859756972E-2</v>
      </c>
      <c r="AA17" s="1">
        <f>tFunnel[[#This Row],[gap_vs_rest]]-tFunnel[[#This Row],[gap_vs_rest_lower]]</f>
        <v>0</v>
      </c>
      <c r="AB17" s="1">
        <f>tFunnel[[#This Row],[gap_vs_rest_upper]]-tFunnel[[#This Row],[gap_vs_rest]]</f>
        <v>0</v>
      </c>
    </row>
    <row r="18" spans="1:28" hidden="1" x14ac:dyDescent="0.3">
      <c r="A18" s="1" t="s">
        <v>22</v>
      </c>
      <c r="B18">
        <v>4</v>
      </c>
      <c r="C18" s="1" t="s">
        <v>23</v>
      </c>
      <c r="D18">
        <v>6</v>
      </c>
      <c r="E18" s="1" t="s">
        <v>26</v>
      </c>
      <c r="F18">
        <v>6</v>
      </c>
      <c r="G18">
        <v>15548</v>
      </c>
      <c r="H18">
        <v>214</v>
      </c>
      <c r="I18">
        <v>388</v>
      </c>
      <c r="J18">
        <v>213</v>
      </c>
      <c r="K18">
        <v>1.3763828145099048E-2</v>
      </c>
      <c r="L18">
        <v>1.2048876664194019E-2</v>
      </c>
      <c r="M18">
        <v>1.5718989927236627E-2</v>
      </c>
      <c r="N18">
        <v>0.5489690721649485</v>
      </c>
      <c r="O18">
        <v>0.49921808471972362</v>
      </c>
      <c r="P18">
        <v>0.5977599127297798</v>
      </c>
      <c r="Q18">
        <v>4.6728971962616819E-3</v>
      </c>
      <c r="R18">
        <v>-5.5630824899952341E-3</v>
      </c>
      <c r="S18">
        <v>-7.3407933946883514E-3</v>
      </c>
      <c r="T18">
        <v>-3.5551472601198699E-3</v>
      </c>
      <c r="U18">
        <v>0</v>
      </c>
      <c r="V18">
        <v>0</v>
      </c>
      <c r="W18">
        <f>tFunnel[[#This Row],[reach_rate]] -tFunnel[[#This Row],[reach_rate_lower]]</f>
        <v>1.7149514809050286E-3</v>
      </c>
      <c r="X18">
        <f>tFunnel[[#This Row],[reach_rate_upper]]-tFunnel[[#This Row],[reach_rate]]</f>
        <v>1.9551617821375791E-3</v>
      </c>
      <c r="Y18">
        <f>tFunnel[[#This Row],[step_conversion]]-tFunnel[[#This Row],[step_conversion_lower]]</f>
        <v>4.9750987445224881E-2</v>
      </c>
      <c r="Z18" s="1">
        <f>tFunnel[[#This Row],[step_conversion_upper]]-tFunnel[[#This Row],[step_conversion]]</f>
        <v>4.8790840564831295E-2</v>
      </c>
      <c r="AA18" s="1">
        <f>tFunnel[[#This Row],[gap_vs_rest]]-tFunnel[[#This Row],[gap_vs_rest_lower]]</f>
        <v>1.7777109046931173E-3</v>
      </c>
      <c r="AB18" s="1">
        <f>tFunnel[[#This Row],[gap_vs_rest_upper]]-tFunnel[[#This Row],[gap_vs_rest]]</f>
        <v>2.0079352298753642E-3</v>
      </c>
    </row>
    <row r="19" spans="1:28" hidden="1" x14ac:dyDescent="0.3">
      <c r="A19" s="1" t="s">
        <v>22</v>
      </c>
      <c r="B19">
        <v>4</v>
      </c>
      <c r="C19" s="1" t="s">
        <v>31</v>
      </c>
      <c r="D19">
        <v>99</v>
      </c>
      <c r="E19" s="1" t="s">
        <v>26</v>
      </c>
      <c r="F19">
        <v>6</v>
      </c>
      <c r="G19">
        <v>21651</v>
      </c>
      <c r="H19">
        <v>956</v>
      </c>
      <c r="I19">
        <v>1191</v>
      </c>
      <c r="J19">
        <v>956</v>
      </c>
      <c r="K19">
        <v>4.4155004387788091E-2</v>
      </c>
      <c r="L19">
        <v>4.1498433675741929E-2</v>
      </c>
      <c r="M19">
        <v>4.6973304273443206E-2</v>
      </c>
      <c r="N19">
        <v>0.80268681780016793</v>
      </c>
      <c r="O19">
        <v>0.77912724092475327</v>
      </c>
      <c r="P19">
        <v>0.82430009635148815</v>
      </c>
      <c r="Q19">
        <v>0</v>
      </c>
      <c r="R19">
        <v>2.6696830638532985E-2</v>
      </c>
      <c r="S19">
        <v>2.4002451031195707E-2</v>
      </c>
      <c r="T19">
        <v>2.9549069084770903E-2</v>
      </c>
      <c r="U19">
        <v>0</v>
      </c>
      <c r="V19">
        <v>0</v>
      </c>
      <c r="W19">
        <f>tFunnel[[#This Row],[reach_rate]] -tFunnel[[#This Row],[reach_rate_lower]]</f>
        <v>2.6565707120461621E-3</v>
      </c>
      <c r="X19">
        <f>tFunnel[[#This Row],[reach_rate_upper]]-tFunnel[[#This Row],[reach_rate]]</f>
        <v>2.818299885655115E-3</v>
      </c>
      <c r="Y19">
        <f>tFunnel[[#This Row],[step_conversion]]-tFunnel[[#This Row],[step_conversion_lower]]</f>
        <v>2.3559576875414656E-2</v>
      </c>
      <c r="Z19" s="1">
        <f>tFunnel[[#This Row],[step_conversion_upper]]-tFunnel[[#This Row],[step_conversion]]</f>
        <v>2.1613278551320225E-2</v>
      </c>
      <c r="AA19" s="1">
        <f>tFunnel[[#This Row],[gap_vs_rest]]-tFunnel[[#This Row],[gap_vs_rest_lower]]</f>
        <v>2.6943796073372779E-3</v>
      </c>
      <c r="AB19" s="1">
        <f>tFunnel[[#This Row],[gap_vs_rest_upper]]-tFunnel[[#This Row],[gap_vs_rest]]</f>
        <v>2.8522384462379181E-3</v>
      </c>
    </row>
    <row r="20" spans="1:28" hidden="1" x14ac:dyDescent="0.3">
      <c r="A20" s="1" t="s">
        <v>22</v>
      </c>
      <c r="B20">
        <v>4</v>
      </c>
      <c r="C20" s="1" t="s">
        <v>32</v>
      </c>
      <c r="D20">
        <v>4</v>
      </c>
      <c r="E20" s="1" t="s">
        <v>26</v>
      </c>
      <c r="F20">
        <v>6</v>
      </c>
      <c r="G20">
        <v>51789</v>
      </c>
      <c r="H20">
        <v>727</v>
      </c>
      <c r="I20">
        <v>1384</v>
      </c>
      <c r="J20">
        <v>727</v>
      </c>
      <c r="K20">
        <v>1.4037730019888393E-2</v>
      </c>
      <c r="L20">
        <v>1.3059940627108156E-2</v>
      </c>
      <c r="M20">
        <v>1.5087606752362938E-2</v>
      </c>
      <c r="N20">
        <v>0.5252890173410405</v>
      </c>
      <c r="O20">
        <v>0.49894699640321821</v>
      </c>
      <c r="P20">
        <v>0.55149104142310912</v>
      </c>
      <c r="Q20">
        <v>0</v>
      </c>
      <c r="R20">
        <v>-5.9061151692637887E-3</v>
      </c>
      <c r="S20">
        <v>-7.0058107384443754E-3</v>
      </c>
      <c r="T20">
        <v>-4.7470518092997214E-3</v>
      </c>
      <c r="U20">
        <v>0</v>
      </c>
      <c r="V20">
        <v>0</v>
      </c>
      <c r="W20">
        <f>tFunnel[[#This Row],[reach_rate]] -tFunnel[[#This Row],[reach_rate_lower]]</f>
        <v>9.777893927802369E-4</v>
      </c>
      <c r="X20">
        <f>tFunnel[[#This Row],[reach_rate_upper]]-tFunnel[[#This Row],[reach_rate]]</f>
        <v>1.0498767324745445E-3</v>
      </c>
      <c r="Y20">
        <f>tFunnel[[#This Row],[step_conversion]]-tFunnel[[#This Row],[step_conversion_lower]]</f>
        <v>2.6342020937822286E-2</v>
      </c>
      <c r="Z20" s="1">
        <f>tFunnel[[#This Row],[step_conversion_upper]]-tFunnel[[#This Row],[step_conversion]]</f>
        <v>2.620202408206862E-2</v>
      </c>
      <c r="AA20" s="1">
        <f>tFunnel[[#This Row],[gap_vs_rest]]-tFunnel[[#This Row],[gap_vs_rest_lower]]</f>
        <v>1.0996955691805867E-3</v>
      </c>
      <c r="AB20" s="1">
        <f>tFunnel[[#This Row],[gap_vs_rest_upper]]-tFunnel[[#This Row],[gap_vs_rest]]</f>
        <v>1.1590633599640673E-3</v>
      </c>
    </row>
    <row r="21" spans="1:28" hidden="1" x14ac:dyDescent="0.3">
      <c r="A21" s="1" t="s">
        <v>22</v>
      </c>
      <c r="B21">
        <v>4</v>
      </c>
      <c r="C21" s="1" t="s">
        <v>33</v>
      </c>
      <c r="D21">
        <v>3</v>
      </c>
      <c r="E21" s="1" t="s">
        <v>26</v>
      </c>
      <c r="F21">
        <v>6</v>
      </c>
      <c r="G21">
        <v>62331</v>
      </c>
      <c r="H21">
        <v>1455</v>
      </c>
      <c r="I21">
        <v>2184</v>
      </c>
      <c r="J21">
        <v>1455</v>
      </c>
      <c r="K21">
        <v>2.334311979592819E-2</v>
      </c>
      <c r="L21">
        <v>2.2186817217695137E-2</v>
      </c>
      <c r="M21">
        <v>2.4558171470587475E-2</v>
      </c>
      <c r="N21">
        <v>0.66620879120879117</v>
      </c>
      <c r="O21">
        <v>0.64615499182743075</v>
      </c>
      <c r="P21">
        <v>0.68567892468095448</v>
      </c>
      <c r="Q21">
        <v>0</v>
      </c>
      <c r="R21">
        <v>5.164773544636677E-3</v>
      </c>
      <c r="S21">
        <v>3.908983896032771E-3</v>
      </c>
      <c r="T21">
        <v>6.470191079082587E-3</v>
      </c>
      <c r="U21">
        <v>0</v>
      </c>
      <c r="V21">
        <v>0</v>
      </c>
      <c r="W21">
        <f>tFunnel[[#This Row],[reach_rate]] -tFunnel[[#This Row],[reach_rate_lower]]</f>
        <v>1.1563025782330531E-3</v>
      </c>
      <c r="X21">
        <f>tFunnel[[#This Row],[reach_rate_upper]]-tFunnel[[#This Row],[reach_rate]]</f>
        <v>1.215051674659285E-3</v>
      </c>
      <c r="Y21">
        <f>tFunnel[[#This Row],[step_conversion]]-tFunnel[[#This Row],[step_conversion_lower]]</f>
        <v>2.0053799381360427E-2</v>
      </c>
      <c r="Z21" s="1">
        <f>tFunnel[[#This Row],[step_conversion_upper]]-tFunnel[[#This Row],[step_conversion]]</f>
        <v>1.9470133472163309E-2</v>
      </c>
      <c r="AA21" s="1">
        <f>tFunnel[[#This Row],[gap_vs_rest]]-tFunnel[[#This Row],[gap_vs_rest_lower]]</f>
        <v>1.255789648603906E-3</v>
      </c>
      <c r="AB21" s="1">
        <f>tFunnel[[#This Row],[gap_vs_rest_upper]]-tFunnel[[#This Row],[gap_vs_rest]]</f>
        <v>1.30541753444591E-3</v>
      </c>
    </row>
    <row r="22" spans="1:28" hidden="1" x14ac:dyDescent="0.3">
      <c r="A22" s="1" t="s">
        <v>22</v>
      </c>
      <c r="B22">
        <v>4</v>
      </c>
      <c r="C22" s="1" t="s">
        <v>34</v>
      </c>
      <c r="D22">
        <v>2</v>
      </c>
      <c r="E22" s="1" t="s">
        <v>26</v>
      </c>
      <c r="F22">
        <v>6</v>
      </c>
      <c r="G22">
        <v>82493</v>
      </c>
      <c r="H22">
        <v>1491</v>
      </c>
      <c r="I22">
        <v>2499</v>
      </c>
      <c r="J22">
        <v>1489</v>
      </c>
      <c r="K22">
        <v>1.8074260846374843E-2</v>
      </c>
      <c r="L22">
        <v>1.718735117743116E-2</v>
      </c>
      <c r="M22">
        <v>1.9006052182981389E-2</v>
      </c>
      <c r="N22">
        <v>0.59583833533413366</v>
      </c>
      <c r="O22">
        <v>0.57646537271493559</v>
      </c>
      <c r="P22">
        <v>0.61491710510853004</v>
      </c>
      <c r="Q22">
        <v>1.3413816230717639E-3</v>
      </c>
      <c r="R22">
        <v>-1.3143125281157263E-3</v>
      </c>
      <c r="S22">
        <v>-2.3444214431780049E-3</v>
      </c>
      <c r="T22">
        <v>-2.5187874308421469E-4</v>
      </c>
      <c r="U22">
        <v>0</v>
      </c>
      <c r="V22">
        <v>0</v>
      </c>
      <c r="W22">
        <f>tFunnel[[#This Row],[reach_rate]] -tFunnel[[#This Row],[reach_rate_lower]]</f>
        <v>8.8690966894368339E-4</v>
      </c>
      <c r="X22">
        <f>tFunnel[[#This Row],[reach_rate_upper]]-tFunnel[[#This Row],[reach_rate]]</f>
        <v>9.3179133660654598E-4</v>
      </c>
      <c r="Y22">
        <f>tFunnel[[#This Row],[step_conversion]]-tFunnel[[#This Row],[step_conversion_lower]]</f>
        <v>1.9372962619198075E-2</v>
      </c>
      <c r="Z22" s="1">
        <f>tFunnel[[#This Row],[step_conversion_upper]]-tFunnel[[#This Row],[step_conversion]]</f>
        <v>1.9078769774396376E-2</v>
      </c>
      <c r="AA22" s="1">
        <f>tFunnel[[#This Row],[gap_vs_rest]]-tFunnel[[#This Row],[gap_vs_rest_lower]]</f>
        <v>1.0301089150622786E-3</v>
      </c>
      <c r="AB22" s="1">
        <f>tFunnel[[#This Row],[gap_vs_rest_upper]]-tFunnel[[#This Row],[gap_vs_rest]]</f>
        <v>1.0624337850315116E-3</v>
      </c>
    </row>
    <row r="23" spans="1:28" hidden="1" x14ac:dyDescent="0.3">
      <c r="A23" s="1" t="s">
        <v>22</v>
      </c>
      <c r="B23">
        <v>4</v>
      </c>
      <c r="C23" s="1" t="s">
        <v>35</v>
      </c>
      <c r="D23">
        <v>1</v>
      </c>
      <c r="E23" s="1" t="s">
        <v>26</v>
      </c>
      <c r="F23">
        <v>6</v>
      </c>
      <c r="G23">
        <v>121780</v>
      </c>
      <c r="H23">
        <v>1943</v>
      </c>
      <c r="I23">
        <v>3416</v>
      </c>
      <c r="J23">
        <v>1943</v>
      </c>
      <c r="K23">
        <v>1.59550008211529E-2</v>
      </c>
      <c r="L23">
        <v>1.5266368557565895E-2</v>
      </c>
      <c r="M23">
        <v>1.6674169795337434E-2</v>
      </c>
      <c r="N23">
        <v>0.56879391100702581</v>
      </c>
      <c r="O23">
        <v>0.55211810203024914</v>
      </c>
      <c r="P23">
        <v>0.58531516955589846</v>
      </c>
      <c r="Q23">
        <v>0</v>
      </c>
      <c r="R23">
        <v>-4.7582217679357705E-3</v>
      </c>
      <c r="S23">
        <v>-5.6619298013698294E-3</v>
      </c>
      <c r="T23">
        <v>-3.8408924646736705E-3</v>
      </c>
      <c r="U23">
        <v>0</v>
      </c>
      <c r="V23">
        <v>0</v>
      </c>
      <c r="W23">
        <f>tFunnel[[#This Row],[reach_rate]] -tFunnel[[#This Row],[reach_rate_lower]]</f>
        <v>6.8863226358700444E-4</v>
      </c>
      <c r="X23">
        <f>tFunnel[[#This Row],[reach_rate_upper]]-tFunnel[[#This Row],[reach_rate]]</f>
        <v>7.1916897418453432E-4</v>
      </c>
      <c r="Y23">
        <f>tFunnel[[#This Row],[step_conversion]]-tFunnel[[#This Row],[step_conversion_lower]]</f>
        <v>1.6675808976776674E-2</v>
      </c>
      <c r="Z23" s="1">
        <f>tFunnel[[#This Row],[step_conversion_upper]]-tFunnel[[#This Row],[step_conversion]]</f>
        <v>1.6521258548872653E-2</v>
      </c>
      <c r="AA23" s="1">
        <f>tFunnel[[#This Row],[gap_vs_rest]]-tFunnel[[#This Row],[gap_vs_rest_lower]]</f>
        <v>9.0370803343405894E-4</v>
      </c>
      <c r="AB23" s="1">
        <f>tFunnel[[#This Row],[gap_vs_rest_upper]]-tFunnel[[#This Row],[gap_vs_rest]]</f>
        <v>9.1732930326210004E-4</v>
      </c>
    </row>
    <row r="24" spans="1:28" hidden="1" x14ac:dyDescent="0.3">
      <c r="A24" s="1" t="s">
        <v>36</v>
      </c>
      <c r="B24">
        <v>3</v>
      </c>
      <c r="C24" s="1" t="s">
        <v>31</v>
      </c>
      <c r="D24">
        <v>99</v>
      </c>
      <c r="E24" s="1" t="s">
        <v>26</v>
      </c>
      <c r="F24">
        <v>6</v>
      </c>
      <c r="G24">
        <v>803</v>
      </c>
      <c r="H24">
        <v>21</v>
      </c>
      <c r="I24">
        <v>29</v>
      </c>
      <c r="J24">
        <v>21</v>
      </c>
      <c r="K24">
        <v>2.6151930261519303E-2</v>
      </c>
      <c r="L24">
        <v>1.7167614167209248E-2</v>
      </c>
      <c r="M24">
        <v>3.9648329506354857E-2</v>
      </c>
      <c r="N24">
        <v>0.72413793103448276</v>
      </c>
      <c r="O24">
        <v>0.54282867435500082</v>
      </c>
      <c r="P24">
        <v>0.85301244972502022</v>
      </c>
      <c r="Q24">
        <v>0</v>
      </c>
      <c r="R24">
        <v>7.0842590541256127E-3</v>
      </c>
      <c r="S24">
        <v>-1.9115840020059206E-3</v>
      </c>
      <c r="T24">
        <v>2.0587987251093023E-2</v>
      </c>
      <c r="U24">
        <v>0</v>
      </c>
      <c r="V24">
        <v>1</v>
      </c>
      <c r="W24">
        <f>tFunnel[[#This Row],[reach_rate]] -tFunnel[[#This Row],[reach_rate_lower]]</f>
        <v>8.9843160943100554E-3</v>
      </c>
      <c r="X24">
        <f>tFunnel[[#This Row],[reach_rate_upper]]-tFunnel[[#This Row],[reach_rate]]</f>
        <v>1.3496399244835554E-2</v>
      </c>
      <c r="Y24">
        <f>tFunnel[[#This Row],[step_conversion]]-tFunnel[[#This Row],[step_conversion_lower]]</f>
        <v>0.18130925667948194</v>
      </c>
      <c r="Z24" s="1">
        <f>tFunnel[[#This Row],[step_conversion_upper]]-tFunnel[[#This Row],[step_conversion]]</f>
        <v>0.12887451869053745</v>
      </c>
      <c r="AA24" s="1">
        <f>tFunnel[[#This Row],[gap_vs_rest]]-tFunnel[[#This Row],[gap_vs_rest_lower]]</f>
        <v>8.9958430561315333E-3</v>
      </c>
      <c r="AB24" s="1">
        <f>tFunnel[[#This Row],[gap_vs_rest_upper]]-tFunnel[[#This Row],[gap_vs_rest]]</f>
        <v>1.3503728196967411E-2</v>
      </c>
    </row>
    <row r="25" spans="1:28" hidden="1" x14ac:dyDescent="0.3">
      <c r="A25" s="1" t="s">
        <v>36</v>
      </c>
      <c r="B25">
        <v>3</v>
      </c>
      <c r="C25" s="1" t="s">
        <v>37</v>
      </c>
      <c r="D25">
        <v>5</v>
      </c>
      <c r="E25" s="1" t="s">
        <v>26</v>
      </c>
      <c r="F25">
        <v>6</v>
      </c>
      <c r="G25">
        <v>3664</v>
      </c>
      <c r="H25">
        <v>69</v>
      </c>
      <c r="I25">
        <v>113</v>
      </c>
      <c r="J25">
        <v>69</v>
      </c>
      <c r="K25">
        <v>1.8831877729257641E-2</v>
      </c>
      <c r="L25">
        <v>1.4907976132284433E-2</v>
      </c>
      <c r="M25">
        <v>2.3763667795465404E-2</v>
      </c>
      <c r="N25">
        <v>0.61061946902654862</v>
      </c>
      <c r="O25">
        <v>0.51849359847852272</v>
      </c>
      <c r="P25">
        <v>0.69547154916139597</v>
      </c>
      <c r="Q25">
        <v>0</v>
      </c>
      <c r="R25">
        <v>-2.5441264831959146E-4</v>
      </c>
      <c r="S25">
        <v>-4.2048762164232523E-3</v>
      </c>
      <c r="T25">
        <v>4.6975787928202626E-3</v>
      </c>
      <c r="U25">
        <v>0</v>
      </c>
      <c r="V25">
        <v>0</v>
      </c>
      <c r="W25">
        <f>tFunnel[[#This Row],[reach_rate]] -tFunnel[[#This Row],[reach_rate_lower]]</f>
        <v>3.9239015969732075E-3</v>
      </c>
      <c r="X25">
        <f>tFunnel[[#This Row],[reach_rate_upper]]-tFunnel[[#This Row],[reach_rate]]</f>
        <v>4.9317900662077634E-3</v>
      </c>
      <c r="Y25">
        <f>tFunnel[[#This Row],[step_conversion]]-tFunnel[[#This Row],[step_conversion_lower]]</f>
        <v>9.2125870548025901E-2</v>
      </c>
      <c r="Z25" s="1">
        <f>tFunnel[[#This Row],[step_conversion_upper]]-tFunnel[[#This Row],[step_conversion]]</f>
        <v>8.4852080134847352E-2</v>
      </c>
      <c r="AA25" s="1">
        <f>tFunnel[[#This Row],[gap_vs_rest]]-tFunnel[[#This Row],[gap_vs_rest_lower]]</f>
        <v>3.9504635681036609E-3</v>
      </c>
      <c r="AB25" s="1">
        <f>tFunnel[[#This Row],[gap_vs_rest_upper]]-tFunnel[[#This Row],[gap_vs_rest]]</f>
        <v>4.951991441139854E-3</v>
      </c>
    </row>
    <row r="26" spans="1:28" hidden="1" x14ac:dyDescent="0.3">
      <c r="A26" s="1" t="s">
        <v>36</v>
      </c>
      <c r="B26">
        <v>3</v>
      </c>
      <c r="C26" s="1" t="s">
        <v>38</v>
      </c>
      <c r="D26">
        <v>4</v>
      </c>
      <c r="E26" s="1" t="s">
        <v>26</v>
      </c>
      <c r="F26">
        <v>6</v>
      </c>
      <c r="G26">
        <v>3745</v>
      </c>
      <c r="H26">
        <v>77</v>
      </c>
      <c r="I26">
        <v>119</v>
      </c>
      <c r="J26">
        <v>77</v>
      </c>
      <c r="K26">
        <v>2.0560747663551402E-2</v>
      </c>
      <c r="L26">
        <v>1.6482908746687282E-2</v>
      </c>
      <c r="M26">
        <v>2.5621154765349843E-2</v>
      </c>
      <c r="N26">
        <v>0.6470588235294118</v>
      </c>
      <c r="O26">
        <v>0.55782684866201782</v>
      </c>
      <c r="P26">
        <v>0.72709324524390984</v>
      </c>
      <c r="Q26">
        <v>0</v>
      </c>
      <c r="R26">
        <v>1.4928005160696825E-3</v>
      </c>
      <c r="S26">
        <v>-2.6105862463481283E-3</v>
      </c>
      <c r="T26">
        <v>6.5728832788112465E-3</v>
      </c>
      <c r="U26">
        <v>0</v>
      </c>
      <c r="V26">
        <v>0</v>
      </c>
      <c r="W26">
        <f>tFunnel[[#This Row],[reach_rate]] -tFunnel[[#This Row],[reach_rate_lower]]</f>
        <v>4.0778389168641196E-3</v>
      </c>
      <c r="X26">
        <f>tFunnel[[#This Row],[reach_rate_upper]]-tFunnel[[#This Row],[reach_rate]]</f>
        <v>5.0604071017984406E-3</v>
      </c>
      <c r="Y26">
        <f>tFunnel[[#This Row],[step_conversion]]-tFunnel[[#This Row],[step_conversion_lower]]</f>
        <v>8.9231974867393982E-2</v>
      </c>
      <c r="Z26" s="1">
        <f>tFunnel[[#This Row],[step_conversion_upper]]-tFunnel[[#This Row],[step_conversion]]</f>
        <v>8.0034421714498039E-2</v>
      </c>
      <c r="AA26" s="1">
        <f>tFunnel[[#This Row],[gap_vs_rest]]-tFunnel[[#This Row],[gap_vs_rest_lower]]</f>
        <v>4.1033867624178108E-3</v>
      </c>
      <c r="AB26" s="1">
        <f>tFunnel[[#This Row],[gap_vs_rest_upper]]-tFunnel[[#This Row],[gap_vs_rest]]</f>
        <v>5.080082762741564E-3</v>
      </c>
    </row>
    <row r="27" spans="1:28" hidden="1" x14ac:dyDescent="0.3">
      <c r="A27" s="1" t="s">
        <v>36</v>
      </c>
      <c r="B27">
        <v>3</v>
      </c>
      <c r="C27" s="1" t="s">
        <v>39</v>
      </c>
      <c r="D27">
        <v>3</v>
      </c>
      <c r="E27" s="1" t="s">
        <v>26</v>
      </c>
      <c r="F27">
        <v>6</v>
      </c>
      <c r="G27">
        <v>66291</v>
      </c>
      <c r="H27">
        <v>1264</v>
      </c>
      <c r="I27">
        <v>2066</v>
      </c>
      <c r="J27">
        <v>1263</v>
      </c>
      <c r="K27">
        <v>1.9067445052872938E-2</v>
      </c>
      <c r="L27">
        <v>1.8053883892248376E-2</v>
      </c>
      <c r="M27">
        <v>2.0136741549576457E-2</v>
      </c>
      <c r="N27">
        <v>0.61132623426911903</v>
      </c>
      <c r="O27">
        <v>0.59011911840463194</v>
      </c>
      <c r="P27">
        <v>0.63212012510178606</v>
      </c>
      <c r="Q27">
        <v>7.911392405063291E-4</v>
      </c>
      <c r="R27">
        <v>-1.9941440779002589E-5</v>
      </c>
      <c r="S27">
        <v>-1.1523571916782248E-3</v>
      </c>
      <c r="T27">
        <v>1.1572235382137702E-3</v>
      </c>
      <c r="U27">
        <v>0</v>
      </c>
      <c r="V27">
        <v>0</v>
      </c>
      <c r="W27">
        <f>tFunnel[[#This Row],[reach_rate]] -tFunnel[[#This Row],[reach_rate_lower]]</f>
        <v>1.0135611606245619E-3</v>
      </c>
      <c r="X27">
        <f>tFunnel[[#This Row],[reach_rate_upper]]-tFunnel[[#This Row],[reach_rate]]</f>
        <v>1.0692964967035194E-3</v>
      </c>
      <c r="Y27">
        <f>tFunnel[[#This Row],[step_conversion]]-tFunnel[[#This Row],[step_conversion_lower]]</f>
        <v>2.1207115864487092E-2</v>
      </c>
      <c r="Z27" s="1">
        <f>tFunnel[[#This Row],[step_conversion_upper]]-tFunnel[[#This Row],[step_conversion]]</f>
        <v>2.0793890832667028E-2</v>
      </c>
      <c r="AA27" s="1">
        <f>tFunnel[[#This Row],[gap_vs_rest]]-tFunnel[[#This Row],[gap_vs_rest_lower]]</f>
        <v>1.1324157508992223E-3</v>
      </c>
      <c r="AB27" s="1">
        <f>tFunnel[[#This Row],[gap_vs_rest_upper]]-tFunnel[[#This Row],[gap_vs_rest]]</f>
        <v>1.1771649789927728E-3</v>
      </c>
    </row>
    <row r="28" spans="1:28" hidden="1" x14ac:dyDescent="0.3">
      <c r="A28" s="1" t="s">
        <v>36</v>
      </c>
      <c r="B28">
        <v>3</v>
      </c>
      <c r="C28" s="1" t="s">
        <v>40</v>
      </c>
      <c r="D28">
        <v>2</v>
      </c>
      <c r="E28" s="1" t="s">
        <v>26</v>
      </c>
      <c r="F28">
        <v>6</v>
      </c>
      <c r="G28">
        <v>84481</v>
      </c>
      <c r="H28">
        <v>1574</v>
      </c>
      <c r="I28">
        <v>2531</v>
      </c>
      <c r="J28">
        <v>1574</v>
      </c>
      <c r="K28">
        <v>1.863140824564103E-2</v>
      </c>
      <c r="L28">
        <v>1.7741237170732962E-2</v>
      </c>
      <c r="M28">
        <v>1.9565354218389723E-2</v>
      </c>
      <c r="N28">
        <v>0.62188858158830507</v>
      </c>
      <c r="O28">
        <v>0.60282570351294618</v>
      </c>
      <c r="P28">
        <v>0.64058202435035827</v>
      </c>
      <c r="Q28">
        <v>0</v>
      </c>
      <c r="R28">
        <v>-5.9318979722702142E-4</v>
      </c>
      <c r="S28">
        <v>-1.6260010001433616E-3</v>
      </c>
      <c r="T28">
        <v>4.7098319913783655E-4</v>
      </c>
      <c r="U28">
        <v>0</v>
      </c>
      <c r="V28">
        <v>0</v>
      </c>
      <c r="W28">
        <f>tFunnel[[#This Row],[reach_rate]] -tFunnel[[#This Row],[reach_rate_lower]]</f>
        <v>8.9017107490806796E-4</v>
      </c>
      <c r="X28">
        <f>tFunnel[[#This Row],[reach_rate_upper]]-tFunnel[[#This Row],[reach_rate]]</f>
        <v>9.3394597274869262E-4</v>
      </c>
      <c r="Y28">
        <f>tFunnel[[#This Row],[step_conversion]]-tFunnel[[#This Row],[step_conversion_lower]]</f>
        <v>1.9062878075358891E-2</v>
      </c>
      <c r="Z28" s="1">
        <f>tFunnel[[#This Row],[step_conversion_upper]]-tFunnel[[#This Row],[step_conversion]]</f>
        <v>1.8693442762053203E-2</v>
      </c>
      <c r="AA28" s="1">
        <f>tFunnel[[#This Row],[gap_vs_rest]]-tFunnel[[#This Row],[gap_vs_rest_lower]]</f>
        <v>1.0328112029163402E-3</v>
      </c>
      <c r="AB28" s="1">
        <f>tFunnel[[#This Row],[gap_vs_rest_upper]]-tFunnel[[#This Row],[gap_vs_rest]]</f>
        <v>1.064172996364858E-3</v>
      </c>
    </row>
    <row r="29" spans="1:28" hidden="1" x14ac:dyDescent="0.3">
      <c r="A29" s="1" t="s">
        <v>36</v>
      </c>
      <c r="B29">
        <v>3</v>
      </c>
      <c r="C29" s="1" t="s">
        <v>41</v>
      </c>
      <c r="D29">
        <v>1</v>
      </c>
      <c r="E29" s="1" t="s">
        <v>26</v>
      </c>
      <c r="F29">
        <v>6</v>
      </c>
      <c r="G29">
        <v>196608</v>
      </c>
      <c r="H29">
        <v>3781</v>
      </c>
      <c r="I29">
        <v>6204</v>
      </c>
      <c r="J29">
        <v>3779</v>
      </c>
      <c r="K29">
        <v>1.9231160481770832E-2</v>
      </c>
      <c r="L29">
        <v>1.8633424402246516E-2</v>
      </c>
      <c r="M29">
        <v>1.9847683361873526E-2</v>
      </c>
      <c r="N29">
        <v>0.60912314635718889</v>
      </c>
      <c r="O29">
        <v>0.59691734339952585</v>
      </c>
      <c r="P29">
        <v>0.62119389687109827</v>
      </c>
      <c r="Q29">
        <v>5.2896059243586358E-4</v>
      </c>
      <c r="R29">
        <v>3.2988739768689823E-4</v>
      </c>
      <c r="S29">
        <v>-5.7630399986585029E-4</v>
      </c>
      <c r="T29">
        <v>1.2314783594505633E-3</v>
      </c>
      <c r="U29">
        <v>0</v>
      </c>
      <c r="V29">
        <v>0</v>
      </c>
      <c r="W29">
        <f>tFunnel[[#This Row],[reach_rate]] -tFunnel[[#This Row],[reach_rate_lower]]</f>
        <v>5.9773607952431571E-4</v>
      </c>
      <c r="X29">
        <f>tFunnel[[#This Row],[reach_rate_upper]]-tFunnel[[#This Row],[reach_rate]]</f>
        <v>6.165228801026934E-4</v>
      </c>
      <c r="Y29">
        <f>tFunnel[[#This Row],[step_conversion]]-tFunnel[[#This Row],[step_conversion_lower]]</f>
        <v>1.2205802957663048E-2</v>
      </c>
      <c r="Z29" s="1">
        <f>tFunnel[[#This Row],[step_conversion_upper]]-tFunnel[[#This Row],[step_conversion]]</f>
        <v>1.2070750513909378E-2</v>
      </c>
      <c r="AA29" s="1">
        <f>tFunnel[[#This Row],[gap_vs_rest]]-tFunnel[[#This Row],[gap_vs_rest_lower]]</f>
        <v>9.0619139755274852E-4</v>
      </c>
      <c r="AB29" s="1">
        <f>tFunnel[[#This Row],[gap_vs_rest_upper]]-tFunnel[[#This Row],[gap_vs_rest]]</f>
        <v>9.0159096176366509E-4</v>
      </c>
    </row>
    <row r="30" spans="1:28" hidden="1" x14ac:dyDescent="0.3">
      <c r="A30" s="1" t="s">
        <v>42</v>
      </c>
      <c r="B30">
        <v>2</v>
      </c>
      <c r="C30" s="1" t="s">
        <v>43</v>
      </c>
      <c r="D30">
        <v>3</v>
      </c>
      <c r="E30" s="1" t="s">
        <v>26</v>
      </c>
      <c r="F30">
        <v>6</v>
      </c>
      <c r="G30">
        <v>7886</v>
      </c>
      <c r="H30">
        <v>143</v>
      </c>
      <c r="I30">
        <v>235</v>
      </c>
      <c r="J30">
        <v>143</v>
      </c>
      <c r="K30">
        <v>1.8133400963733198E-2</v>
      </c>
      <c r="L30">
        <v>1.5414397703005107E-2</v>
      </c>
      <c r="M30">
        <v>2.1321633102155423E-2</v>
      </c>
      <c r="N30">
        <v>0.60851063829787233</v>
      </c>
      <c r="O30">
        <v>0.54484126123527554</v>
      </c>
      <c r="P30">
        <v>0.66868950615694234</v>
      </c>
      <c r="Q30">
        <v>0</v>
      </c>
      <c r="R30">
        <v>-9.7182011384383538E-4</v>
      </c>
      <c r="S30">
        <v>-3.7295202663203725E-3</v>
      </c>
      <c r="T30">
        <v>2.2479757087623528E-3</v>
      </c>
      <c r="U30">
        <v>0</v>
      </c>
      <c r="V30">
        <v>0</v>
      </c>
      <c r="W30">
        <f>tFunnel[[#This Row],[reach_rate]] -tFunnel[[#This Row],[reach_rate_lower]]</f>
        <v>2.7190032607280912E-3</v>
      </c>
      <c r="X30">
        <f>tFunnel[[#This Row],[reach_rate_upper]]-tFunnel[[#This Row],[reach_rate]]</f>
        <v>3.1882321384222242E-3</v>
      </c>
      <c r="Y30">
        <f>tFunnel[[#This Row],[step_conversion]]-tFunnel[[#This Row],[step_conversion_lower]]</f>
        <v>6.3669377062596788E-2</v>
      </c>
      <c r="Z30" s="1">
        <f>tFunnel[[#This Row],[step_conversion_upper]]-tFunnel[[#This Row],[step_conversion]]</f>
        <v>6.0178867859070007E-2</v>
      </c>
      <c r="AA30" s="1">
        <f>tFunnel[[#This Row],[gap_vs_rest]]-tFunnel[[#This Row],[gap_vs_rest_lower]]</f>
        <v>2.7577001524765371E-3</v>
      </c>
      <c r="AB30" s="1">
        <f>tFunnel[[#This Row],[gap_vs_rest_upper]]-tFunnel[[#This Row],[gap_vs_rest]]</f>
        <v>3.2197958226061882E-3</v>
      </c>
    </row>
    <row r="31" spans="1:28" hidden="1" x14ac:dyDescent="0.3">
      <c r="A31" s="1" t="s">
        <v>42</v>
      </c>
      <c r="B31">
        <v>2</v>
      </c>
      <c r="C31" s="1" t="s">
        <v>44</v>
      </c>
      <c r="D31">
        <v>2</v>
      </c>
      <c r="E31" s="1" t="s">
        <v>26</v>
      </c>
      <c r="F31">
        <v>6</v>
      </c>
      <c r="G31">
        <v>141352</v>
      </c>
      <c r="H31">
        <v>2807</v>
      </c>
      <c r="I31">
        <v>4507</v>
      </c>
      <c r="J31">
        <v>2806</v>
      </c>
      <c r="K31">
        <v>1.985822627200181E-2</v>
      </c>
      <c r="L31">
        <v>1.9143870360290766E-2</v>
      </c>
      <c r="M31">
        <v>2.0598678662810326E-2</v>
      </c>
      <c r="N31">
        <v>0.62258708675393837</v>
      </c>
      <c r="O31">
        <v>0.60833649812684598</v>
      </c>
      <c r="P31">
        <v>0.63662888362568504</v>
      </c>
      <c r="Q31">
        <v>3.5625222657641609E-4</v>
      </c>
      <c r="R31">
        <v>1.2855974445186123E-3</v>
      </c>
      <c r="S31">
        <v>3.6518861188637199E-4</v>
      </c>
      <c r="T31">
        <v>2.2158532939950148E-3</v>
      </c>
      <c r="U31">
        <v>0</v>
      </c>
      <c r="V31">
        <v>0</v>
      </c>
      <c r="W31">
        <f>tFunnel[[#This Row],[reach_rate]] -tFunnel[[#This Row],[reach_rate_lower]]</f>
        <v>7.1435591171104332E-4</v>
      </c>
      <c r="X31">
        <f>tFunnel[[#This Row],[reach_rate_upper]]-tFunnel[[#This Row],[reach_rate]]</f>
        <v>7.4045239080851658E-4</v>
      </c>
      <c r="Y31">
        <f>tFunnel[[#This Row],[step_conversion]]-tFunnel[[#This Row],[step_conversion_lower]]</f>
        <v>1.4250588627092386E-2</v>
      </c>
      <c r="Z31" s="1">
        <f>tFunnel[[#This Row],[step_conversion_upper]]-tFunnel[[#This Row],[step_conversion]]</f>
        <v>1.404179687174667E-2</v>
      </c>
      <c r="AA31" s="1">
        <f>tFunnel[[#This Row],[gap_vs_rest]]-tFunnel[[#This Row],[gap_vs_rest_lower]]</f>
        <v>9.2040883263224034E-4</v>
      </c>
      <c r="AB31" s="1">
        <f>tFunnel[[#This Row],[gap_vs_rest_upper]]-tFunnel[[#This Row],[gap_vs_rest]]</f>
        <v>9.3025584947640247E-4</v>
      </c>
    </row>
    <row r="32" spans="1:28" hidden="1" x14ac:dyDescent="0.3">
      <c r="A32" s="1" t="s">
        <v>42</v>
      </c>
      <c r="B32">
        <v>2</v>
      </c>
      <c r="C32" s="1" t="s">
        <v>45</v>
      </c>
      <c r="D32">
        <v>1</v>
      </c>
      <c r="E32" s="1" t="s">
        <v>26</v>
      </c>
      <c r="F32">
        <v>6</v>
      </c>
      <c r="G32">
        <v>206354</v>
      </c>
      <c r="H32">
        <v>3836</v>
      </c>
      <c r="I32">
        <v>6320</v>
      </c>
      <c r="J32">
        <v>3834</v>
      </c>
      <c r="K32">
        <v>1.8589414307452243E-2</v>
      </c>
      <c r="L32">
        <v>1.801553893758712E-2</v>
      </c>
      <c r="M32">
        <v>1.918121309575288E-2</v>
      </c>
      <c r="N32">
        <v>0.60664556962025318</v>
      </c>
      <c r="O32">
        <v>0.59454087174454251</v>
      </c>
      <c r="P32">
        <v>0.6186207023975242</v>
      </c>
      <c r="Q32">
        <v>5.2137643378519292E-4</v>
      </c>
      <c r="R32">
        <v>-1.1776691431434512E-3</v>
      </c>
      <c r="S32">
        <v>-2.0973670482358183E-3</v>
      </c>
      <c r="T32">
        <v>-2.65631204917476E-4</v>
      </c>
      <c r="U32">
        <v>0</v>
      </c>
      <c r="V32">
        <v>0</v>
      </c>
      <c r="W32">
        <f>tFunnel[[#This Row],[reach_rate]] -tFunnel[[#This Row],[reach_rate_lower]]</f>
        <v>5.7387536986512264E-4</v>
      </c>
      <c r="X32">
        <f>tFunnel[[#This Row],[reach_rate_upper]]-tFunnel[[#This Row],[reach_rate]]</f>
        <v>5.9179878830063759E-4</v>
      </c>
      <c r="Y32">
        <f>tFunnel[[#This Row],[step_conversion]]-tFunnel[[#This Row],[step_conversion_lower]]</f>
        <v>1.2104697875710668E-2</v>
      </c>
      <c r="Z32" s="1">
        <f>tFunnel[[#This Row],[step_conversion_upper]]-tFunnel[[#This Row],[step_conversion]]</f>
        <v>1.1975132777271025E-2</v>
      </c>
      <c r="AA32" s="1">
        <f>tFunnel[[#This Row],[gap_vs_rest]]-tFunnel[[#This Row],[gap_vs_rest_lower]]</f>
        <v>9.1969790509236708E-4</v>
      </c>
      <c r="AB32" s="1">
        <f>tFunnel[[#This Row],[gap_vs_rest_upper]]-tFunnel[[#This Row],[gap_vs_rest]]</f>
        <v>9.1203793822597519E-4</v>
      </c>
    </row>
    <row r="33" spans="1:28" x14ac:dyDescent="0.3">
      <c r="A33" s="1" t="s">
        <v>46</v>
      </c>
      <c r="B33">
        <v>1</v>
      </c>
      <c r="C33" s="1" t="s">
        <v>47</v>
      </c>
      <c r="D33">
        <v>0</v>
      </c>
      <c r="E33" s="1" t="s">
        <v>26</v>
      </c>
      <c r="F33">
        <v>6</v>
      </c>
      <c r="G33">
        <v>355592</v>
      </c>
      <c r="H33">
        <v>6786</v>
      </c>
      <c r="I33">
        <v>11062</v>
      </c>
      <c r="J33">
        <v>6783</v>
      </c>
      <c r="K33">
        <v>1.9083668923935298E-2</v>
      </c>
      <c r="L33">
        <v>1.8639140626340776E-2</v>
      </c>
      <c r="M33">
        <v>1.9538587783486858E-2</v>
      </c>
      <c r="N33">
        <v>0.61318025673476773</v>
      </c>
      <c r="O33">
        <v>0.6040667668215437</v>
      </c>
      <c r="P33">
        <v>0.62221516657723319</v>
      </c>
      <c r="Q33">
        <v>4.4208664898320068E-4</v>
      </c>
      <c r="U33">
        <v>0</v>
      </c>
      <c r="V33">
        <v>0</v>
      </c>
      <c r="W33">
        <f>tFunnel[[#This Row],[reach_rate]] -tFunnel[[#This Row],[reach_rate_lower]]</f>
        <v>4.4452829759452153E-4</v>
      </c>
      <c r="X33">
        <f>tFunnel[[#This Row],[reach_rate_upper]]-tFunnel[[#This Row],[reach_rate]]</f>
        <v>4.5491885955156047E-4</v>
      </c>
      <c r="Y33">
        <f>tFunnel[[#This Row],[step_conversion]]-tFunnel[[#This Row],[step_conversion_lower]]</f>
        <v>9.1134899132240266E-3</v>
      </c>
      <c r="Z33" s="1">
        <f>tFunnel[[#This Row],[step_conversion_upper]]-tFunnel[[#This Row],[step_conversion]]</f>
        <v>9.0349098424654661E-3</v>
      </c>
      <c r="AA33" s="1">
        <f>tFunnel[[#This Row],[gap_vs_rest]]-tFunnel[[#This Row],[gap_vs_rest_lower]]</f>
        <v>0</v>
      </c>
      <c r="AB33" s="1">
        <f>tFunnel[[#This Row],[gap_vs_rest_upper]]-tFunnel[[#This Row],[gap_vs_rest]]</f>
        <v>0</v>
      </c>
    </row>
    <row r="34" spans="1:28" hidden="1" x14ac:dyDescent="0.3">
      <c r="A34" s="1" t="s">
        <v>22</v>
      </c>
      <c r="B34">
        <v>4</v>
      </c>
      <c r="C34" s="1" t="s">
        <v>23</v>
      </c>
      <c r="D34">
        <v>6</v>
      </c>
      <c r="E34" s="1" t="s">
        <v>28</v>
      </c>
      <c r="F34">
        <v>5</v>
      </c>
      <c r="G34">
        <v>15548</v>
      </c>
      <c r="H34">
        <v>388</v>
      </c>
      <c r="I34">
        <v>389</v>
      </c>
      <c r="J34">
        <v>388</v>
      </c>
      <c r="K34">
        <v>2.4954978132235656E-2</v>
      </c>
      <c r="L34">
        <v>2.2617920865124101E-2</v>
      </c>
      <c r="M34">
        <v>2.752671705078949E-2</v>
      </c>
      <c r="N34">
        <v>0.99742930591259638</v>
      </c>
      <c r="O34">
        <v>0.9855841731451318</v>
      </c>
      <c r="P34">
        <v>0.99954606515015687</v>
      </c>
      <c r="Q34">
        <v>0</v>
      </c>
      <c r="R34">
        <v>-6.4350772723590424E-3</v>
      </c>
      <c r="S34">
        <v>-8.8457980460747623E-3</v>
      </c>
      <c r="T34">
        <v>-3.7985704147024259E-3</v>
      </c>
      <c r="U34">
        <v>0</v>
      </c>
      <c r="V34">
        <v>0</v>
      </c>
      <c r="W34">
        <f>tFunnel[[#This Row],[reach_rate]] -tFunnel[[#This Row],[reach_rate_lower]]</f>
        <v>2.3370572671115551E-3</v>
      </c>
      <c r="X34">
        <f>tFunnel[[#This Row],[reach_rate_upper]]-tFunnel[[#This Row],[reach_rate]]</f>
        <v>2.5717389185538342E-3</v>
      </c>
      <c r="Y34">
        <f>tFunnel[[#This Row],[step_conversion]]-tFunnel[[#This Row],[step_conversion_lower]]</f>
        <v>1.1845132767464572E-2</v>
      </c>
      <c r="Z34" s="1">
        <f>tFunnel[[#This Row],[step_conversion_upper]]-tFunnel[[#This Row],[step_conversion]]</f>
        <v>2.1167592375604949E-3</v>
      </c>
      <c r="AA34" s="1">
        <f>tFunnel[[#This Row],[gap_vs_rest]]-tFunnel[[#This Row],[gap_vs_rest_lower]]</f>
        <v>2.4107207737157198E-3</v>
      </c>
      <c r="AB34" s="1">
        <f>tFunnel[[#This Row],[gap_vs_rest_upper]]-tFunnel[[#This Row],[gap_vs_rest]]</f>
        <v>2.6365068576566166E-3</v>
      </c>
    </row>
    <row r="35" spans="1:28" hidden="1" x14ac:dyDescent="0.3">
      <c r="A35" s="1" t="s">
        <v>22</v>
      </c>
      <c r="B35">
        <v>4</v>
      </c>
      <c r="C35" s="1" t="s">
        <v>31</v>
      </c>
      <c r="D35">
        <v>99</v>
      </c>
      <c r="E35" s="1" t="s">
        <v>28</v>
      </c>
      <c r="F35">
        <v>5</v>
      </c>
      <c r="G35">
        <v>21651</v>
      </c>
      <c r="H35">
        <v>1191</v>
      </c>
      <c r="I35">
        <v>1191</v>
      </c>
      <c r="J35">
        <v>1191</v>
      </c>
      <c r="K35">
        <v>5.5009006512401273E-2</v>
      </c>
      <c r="L35">
        <v>5.2050223755691932E-2</v>
      </c>
      <c r="M35">
        <v>5.8125667553029302E-2</v>
      </c>
      <c r="N35">
        <v>1</v>
      </c>
      <c r="O35">
        <v>0.9967849635173418</v>
      </c>
      <c r="P35">
        <v>1.0000000000000002</v>
      </c>
      <c r="Q35">
        <v>0</v>
      </c>
      <c r="R35">
        <v>2.5449892776741381E-2</v>
      </c>
      <c r="S35">
        <v>2.2434822765136385E-2</v>
      </c>
      <c r="T35">
        <v>2.8618077239226464E-2</v>
      </c>
      <c r="U35">
        <v>0</v>
      </c>
      <c r="V35">
        <v>0</v>
      </c>
      <c r="W35">
        <f>tFunnel[[#This Row],[reach_rate]] -tFunnel[[#This Row],[reach_rate_lower]]</f>
        <v>2.9587827567093411E-3</v>
      </c>
      <c r="X35">
        <f>tFunnel[[#This Row],[reach_rate_upper]]-tFunnel[[#This Row],[reach_rate]]</f>
        <v>3.1166610406280285E-3</v>
      </c>
      <c r="Y35">
        <f>tFunnel[[#This Row],[step_conversion]]-tFunnel[[#This Row],[step_conversion_lower]]</f>
        <v>3.2150364826581956E-3</v>
      </c>
      <c r="Z35" s="1">
        <f>tFunnel[[#This Row],[step_conversion_upper]]-tFunnel[[#This Row],[step_conversion]]</f>
        <v>0</v>
      </c>
      <c r="AA35" s="1">
        <f>tFunnel[[#This Row],[gap_vs_rest]]-tFunnel[[#This Row],[gap_vs_rest_lower]]</f>
        <v>3.0150700116049964E-3</v>
      </c>
      <c r="AB35" s="1">
        <f>tFunnel[[#This Row],[gap_vs_rest_upper]]-tFunnel[[#This Row],[gap_vs_rest]]</f>
        <v>3.1681844624850825E-3</v>
      </c>
    </row>
    <row r="36" spans="1:28" hidden="1" x14ac:dyDescent="0.3">
      <c r="A36" s="1" t="s">
        <v>22</v>
      </c>
      <c r="B36">
        <v>4</v>
      </c>
      <c r="C36" s="1" t="s">
        <v>32</v>
      </c>
      <c r="D36">
        <v>4</v>
      </c>
      <c r="E36" s="1" t="s">
        <v>28</v>
      </c>
      <c r="F36">
        <v>5</v>
      </c>
      <c r="G36">
        <v>51789</v>
      </c>
      <c r="H36">
        <v>1384</v>
      </c>
      <c r="I36">
        <v>1384</v>
      </c>
      <c r="J36">
        <v>1384</v>
      </c>
      <c r="K36">
        <v>2.6723821660970478E-2</v>
      </c>
      <c r="L36">
        <v>2.5369550270610098E-2</v>
      </c>
      <c r="M36">
        <v>2.8148298544112313E-2</v>
      </c>
      <c r="N36">
        <v>1</v>
      </c>
      <c r="O36">
        <v>0.99723206216624161</v>
      </c>
      <c r="P36">
        <v>1</v>
      </c>
      <c r="Q36">
        <v>0</v>
      </c>
      <c r="R36">
        <v>-5.1323482912683065E-3</v>
      </c>
      <c r="S36">
        <v>-6.6261639618777398E-3</v>
      </c>
      <c r="T36">
        <v>-3.5793570247397363E-3</v>
      </c>
      <c r="U36">
        <v>0</v>
      </c>
      <c r="V36">
        <v>0</v>
      </c>
      <c r="W36">
        <f>tFunnel[[#This Row],[reach_rate]] -tFunnel[[#This Row],[reach_rate_lower]]</f>
        <v>1.3542713903603801E-3</v>
      </c>
      <c r="X36">
        <f>tFunnel[[#This Row],[reach_rate_upper]]-tFunnel[[#This Row],[reach_rate]]</f>
        <v>1.4244768831418349E-3</v>
      </c>
      <c r="Y36">
        <f>tFunnel[[#This Row],[step_conversion]]-tFunnel[[#This Row],[step_conversion_lower]]</f>
        <v>2.7679378337583938E-3</v>
      </c>
      <c r="Z36" s="1">
        <f>tFunnel[[#This Row],[step_conversion_upper]]-tFunnel[[#This Row],[step_conversion]]</f>
        <v>0</v>
      </c>
      <c r="AA36" s="1">
        <f>tFunnel[[#This Row],[gap_vs_rest]]-tFunnel[[#This Row],[gap_vs_rest_lower]]</f>
        <v>1.4938156706094333E-3</v>
      </c>
      <c r="AB36" s="1">
        <f>tFunnel[[#This Row],[gap_vs_rest_upper]]-tFunnel[[#This Row],[gap_vs_rest]]</f>
        <v>1.5529912665285701E-3</v>
      </c>
    </row>
    <row r="37" spans="1:28" hidden="1" x14ac:dyDescent="0.3">
      <c r="A37" s="1" t="s">
        <v>22</v>
      </c>
      <c r="B37">
        <v>4</v>
      </c>
      <c r="C37" s="1" t="s">
        <v>33</v>
      </c>
      <c r="D37">
        <v>3</v>
      </c>
      <c r="E37" s="1" t="s">
        <v>28</v>
      </c>
      <c r="F37">
        <v>5</v>
      </c>
      <c r="G37">
        <v>62331</v>
      </c>
      <c r="H37">
        <v>2184</v>
      </c>
      <c r="I37">
        <v>2183</v>
      </c>
      <c r="J37">
        <v>2183</v>
      </c>
      <c r="K37">
        <v>3.5038744765846848E-2</v>
      </c>
      <c r="L37">
        <v>3.3623630528270679E-2</v>
      </c>
      <c r="M37">
        <v>3.6511166586199371E-2</v>
      </c>
      <c r="N37">
        <v>1</v>
      </c>
      <c r="O37">
        <v>0.9982433756842799</v>
      </c>
      <c r="P37">
        <v>1</v>
      </c>
      <c r="Q37">
        <v>4.5787545787545788E-4</v>
      </c>
      <c r="R37">
        <v>4.7653705360651867E-3</v>
      </c>
      <c r="S37">
        <v>3.2178564919063527E-3</v>
      </c>
      <c r="T37">
        <v>6.3606807156481489E-3</v>
      </c>
      <c r="U37">
        <v>0</v>
      </c>
      <c r="V37">
        <v>0</v>
      </c>
      <c r="W37">
        <f>tFunnel[[#This Row],[reach_rate]] -tFunnel[[#This Row],[reach_rate_lower]]</f>
        <v>1.4151142375761691E-3</v>
      </c>
      <c r="X37">
        <f>tFunnel[[#This Row],[reach_rate_upper]]-tFunnel[[#This Row],[reach_rate]]</f>
        <v>1.4724218203525236E-3</v>
      </c>
      <c r="Y37">
        <f>tFunnel[[#This Row],[step_conversion]]-tFunnel[[#This Row],[step_conversion_lower]]</f>
        <v>1.7566243157201011E-3</v>
      </c>
      <c r="Z37" s="1">
        <f>tFunnel[[#This Row],[step_conversion_upper]]-tFunnel[[#This Row],[step_conversion]]</f>
        <v>0</v>
      </c>
      <c r="AA37" s="1">
        <f>tFunnel[[#This Row],[gap_vs_rest]]-tFunnel[[#This Row],[gap_vs_rest_lower]]</f>
        <v>1.547514044158834E-3</v>
      </c>
      <c r="AB37" s="1">
        <f>tFunnel[[#This Row],[gap_vs_rest_upper]]-tFunnel[[#This Row],[gap_vs_rest]]</f>
        <v>1.5953101795829622E-3</v>
      </c>
    </row>
    <row r="38" spans="1:28" hidden="1" x14ac:dyDescent="0.3">
      <c r="A38" s="1" t="s">
        <v>22</v>
      </c>
      <c r="B38">
        <v>4</v>
      </c>
      <c r="C38" s="1" t="s">
        <v>34</v>
      </c>
      <c r="D38">
        <v>2</v>
      </c>
      <c r="E38" s="1" t="s">
        <v>28</v>
      </c>
      <c r="F38">
        <v>5</v>
      </c>
      <c r="G38">
        <v>82493</v>
      </c>
      <c r="H38">
        <v>2499</v>
      </c>
      <c r="I38">
        <v>2500</v>
      </c>
      <c r="J38">
        <v>2499</v>
      </c>
      <c r="K38">
        <v>3.0293479446740934E-2</v>
      </c>
      <c r="L38">
        <v>2.9145582318137832E-2</v>
      </c>
      <c r="M38">
        <v>3.1485120269116387E-2</v>
      </c>
      <c r="N38">
        <v>0.99960000000000004</v>
      </c>
      <c r="O38">
        <v>0.99773761460609911</v>
      </c>
      <c r="P38">
        <v>0.99992938668882114</v>
      </c>
      <c r="Q38">
        <v>0</v>
      </c>
      <c r="R38">
        <v>-1.0614504504758288E-3</v>
      </c>
      <c r="S38">
        <v>-2.3856790590506449E-3</v>
      </c>
      <c r="T38">
        <v>2.9453120095205816E-4</v>
      </c>
      <c r="U38">
        <v>0</v>
      </c>
      <c r="V38">
        <v>0</v>
      </c>
      <c r="W38">
        <f>tFunnel[[#This Row],[reach_rate]] -tFunnel[[#This Row],[reach_rate_lower]]</f>
        <v>1.1478971286031023E-3</v>
      </c>
      <c r="X38">
        <f>tFunnel[[#This Row],[reach_rate_upper]]-tFunnel[[#This Row],[reach_rate]]</f>
        <v>1.1916408223754532E-3</v>
      </c>
      <c r="Y38">
        <f>tFunnel[[#This Row],[step_conversion]]-tFunnel[[#This Row],[step_conversion_lower]]</f>
        <v>1.8623853939009338E-3</v>
      </c>
      <c r="Z38" s="1">
        <f>tFunnel[[#This Row],[step_conversion_upper]]-tFunnel[[#This Row],[step_conversion]]</f>
        <v>3.2938668882109834E-4</v>
      </c>
      <c r="AA38" s="1">
        <f>tFunnel[[#This Row],[gap_vs_rest]]-tFunnel[[#This Row],[gap_vs_rest_lower]]</f>
        <v>1.3242286085748162E-3</v>
      </c>
      <c r="AB38" s="1">
        <f>tFunnel[[#This Row],[gap_vs_rest_upper]]-tFunnel[[#This Row],[gap_vs_rest]]</f>
        <v>1.3559816514278869E-3</v>
      </c>
    </row>
    <row r="39" spans="1:28" hidden="1" x14ac:dyDescent="0.3">
      <c r="A39" s="1" t="s">
        <v>22</v>
      </c>
      <c r="B39">
        <v>4</v>
      </c>
      <c r="C39" s="1" t="s">
        <v>35</v>
      </c>
      <c r="D39">
        <v>1</v>
      </c>
      <c r="E39" s="1" t="s">
        <v>28</v>
      </c>
      <c r="F39">
        <v>5</v>
      </c>
      <c r="G39">
        <v>121780</v>
      </c>
      <c r="H39">
        <v>3416</v>
      </c>
      <c r="I39">
        <v>3416</v>
      </c>
      <c r="J39">
        <v>3416</v>
      </c>
      <c r="K39">
        <v>2.8050583018558055E-2</v>
      </c>
      <c r="L39">
        <v>2.7137995315790347E-2</v>
      </c>
      <c r="M39">
        <v>2.8992944363833144E-2</v>
      </c>
      <c r="N39">
        <v>1</v>
      </c>
      <c r="O39">
        <v>0.9988767143367655</v>
      </c>
      <c r="P39">
        <v>0.99999999999999978</v>
      </c>
      <c r="Q39">
        <v>0</v>
      </c>
      <c r="R39">
        <v>-4.6509036459416314E-3</v>
      </c>
      <c r="S39">
        <v>-5.8186798434985768E-3</v>
      </c>
      <c r="T39">
        <v>-3.4690449831414625E-3</v>
      </c>
      <c r="U39">
        <v>0</v>
      </c>
      <c r="V39">
        <v>0</v>
      </c>
      <c r="W39">
        <f>tFunnel[[#This Row],[reach_rate]] -tFunnel[[#This Row],[reach_rate_lower]]</f>
        <v>9.1258770276770804E-4</v>
      </c>
      <c r="X39">
        <f>tFunnel[[#This Row],[reach_rate_upper]]-tFunnel[[#This Row],[reach_rate]]</f>
        <v>9.4236134527508897E-4</v>
      </c>
      <c r="Y39">
        <f>tFunnel[[#This Row],[step_conversion]]-tFunnel[[#This Row],[step_conversion_lower]]</f>
        <v>1.1232856632344967E-3</v>
      </c>
      <c r="Z39" s="1">
        <f>tFunnel[[#This Row],[step_conversion_upper]]-tFunnel[[#This Row],[step_conversion]]</f>
        <v>0</v>
      </c>
      <c r="AA39" s="1">
        <f>tFunnel[[#This Row],[gap_vs_rest]]-tFunnel[[#This Row],[gap_vs_rest_lower]]</f>
        <v>1.1677761975569453E-3</v>
      </c>
      <c r="AB39" s="1">
        <f>tFunnel[[#This Row],[gap_vs_rest_upper]]-tFunnel[[#This Row],[gap_vs_rest]]</f>
        <v>1.181858662800169E-3</v>
      </c>
    </row>
    <row r="40" spans="1:28" hidden="1" x14ac:dyDescent="0.3">
      <c r="A40" s="1" t="s">
        <v>36</v>
      </c>
      <c r="B40">
        <v>3</v>
      </c>
      <c r="C40" s="1" t="s">
        <v>31</v>
      </c>
      <c r="D40">
        <v>99</v>
      </c>
      <c r="E40" s="1" t="s">
        <v>28</v>
      </c>
      <c r="F40">
        <v>5</v>
      </c>
      <c r="G40">
        <v>803</v>
      </c>
      <c r="H40">
        <v>29</v>
      </c>
      <c r="I40">
        <v>29</v>
      </c>
      <c r="J40">
        <v>29</v>
      </c>
      <c r="K40">
        <v>3.6114570361145702E-2</v>
      </c>
      <c r="L40">
        <v>2.5261265839215483E-2</v>
      </c>
      <c r="M40">
        <v>5.1385091633590375E-2</v>
      </c>
      <c r="N40">
        <v>1</v>
      </c>
      <c r="O40">
        <v>0.88303019987081621</v>
      </c>
      <c r="P40">
        <v>1</v>
      </c>
      <c r="Q40">
        <v>0</v>
      </c>
      <c r="R40">
        <v>5.017213904209325E-3</v>
      </c>
      <c r="S40">
        <v>-5.8513785161158436E-3</v>
      </c>
      <c r="T40">
        <v>2.0298225077188072E-2</v>
      </c>
      <c r="U40">
        <v>0</v>
      </c>
      <c r="V40">
        <v>1</v>
      </c>
      <c r="W40">
        <f>tFunnel[[#This Row],[reach_rate]] -tFunnel[[#This Row],[reach_rate_lower]]</f>
        <v>1.0853304521930219E-2</v>
      </c>
      <c r="X40">
        <f>tFunnel[[#This Row],[reach_rate_upper]]-tFunnel[[#This Row],[reach_rate]]</f>
        <v>1.5270521272444673E-2</v>
      </c>
      <c r="Y40">
        <f>tFunnel[[#This Row],[step_conversion]]-tFunnel[[#This Row],[step_conversion_lower]]</f>
        <v>0.11696980012918379</v>
      </c>
      <c r="Z40" s="1">
        <f>tFunnel[[#This Row],[step_conversion_upper]]-tFunnel[[#This Row],[step_conversion]]</f>
        <v>0</v>
      </c>
      <c r="AA40" s="1">
        <f>tFunnel[[#This Row],[gap_vs_rest]]-tFunnel[[#This Row],[gap_vs_rest_lower]]</f>
        <v>1.0868592420325169E-2</v>
      </c>
      <c r="AB40" s="1">
        <f>tFunnel[[#This Row],[gap_vs_rest_upper]]-tFunnel[[#This Row],[gap_vs_rest]]</f>
        <v>1.5281011172978747E-2</v>
      </c>
    </row>
    <row r="41" spans="1:28" hidden="1" x14ac:dyDescent="0.3">
      <c r="A41" s="1" t="s">
        <v>36</v>
      </c>
      <c r="B41">
        <v>3</v>
      </c>
      <c r="C41" s="1" t="s">
        <v>37</v>
      </c>
      <c r="D41">
        <v>5</v>
      </c>
      <c r="E41" s="1" t="s">
        <v>28</v>
      </c>
      <c r="F41">
        <v>5</v>
      </c>
      <c r="G41">
        <v>3664</v>
      </c>
      <c r="H41">
        <v>113</v>
      </c>
      <c r="I41">
        <v>113</v>
      </c>
      <c r="J41">
        <v>113</v>
      </c>
      <c r="K41">
        <v>3.0840611353711789E-2</v>
      </c>
      <c r="L41">
        <v>2.5715419972161851E-2</v>
      </c>
      <c r="M41">
        <v>3.6948536869472852E-2</v>
      </c>
      <c r="N41">
        <v>1</v>
      </c>
      <c r="O41">
        <v>0.96712246733243301</v>
      </c>
      <c r="P41">
        <v>1.0000000000000002</v>
      </c>
      <c r="Q41">
        <v>0</v>
      </c>
      <c r="R41">
        <v>-2.7086599392750141E-4</v>
      </c>
      <c r="S41">
        <v>-5.4286308473088908E-3</v>
      </c>
      <c r="T41">
        <v>5.8634605469772422E-3</v>
      </c>
      <c r="U41">
        <v>0</v>
      </c>
      <c r="V41">
        <v>0</v>
      </c>
      <c r="W41">
        <f>tFunnel[[#This Row],[reach_rate]] -tFunnel[[#This Row],[reach_rate_lower]]</f>
        <v>5.1251913815499386E-3</v>
      </c>
      <c r="X41">
        <f>tFunnel[[#This Row],[reach_rate_upper]]-tFunnel[[#This Row],[reach_rate]]</f>
        <v>6.1079255157610625E-3</v>
      </c>
      <c r="Y41">
        <f>tFunnel[[#This Row],[step_conversion]]-tFunnel[[#This Row],[step_conversion_lower]]</f>
        <v>3.2877532667566989E-2</v>
      </c>
      <c r="Z41" s="1">
        <f>tFunnel[[#This Row],[step_conversion_upper]]-tFunnel[[#This Row],[step_conversion]]</f>
        <v>0</v>
      </c>
      <c r="AA41" s="1">
        <f>tFunnel[[#This Row],[gap_vs_rest]]-tFunnel[[#This Row],[gap_vs_rest_lower]]</f>
        <v>5.1577648533813894E-3</v>
      </c>
      <c r="AB41" s="1">
        <f>tFunnel[[#This Row],[gap_vs_rest_upper]]-tFunnel[[#This Row],[gap_vs_rest]]</f>
        <v>6.1343265409047436E-3</v>
      </c>
    </row>
    <row r="42" spans="1:28" hidden="1" x14ac:dyDescent="0.3">
      <c r="A42" s="1" t="s">
        <v>36</v>
      </c>
      <c r="B42">
        <v>3</v>
      </c>
      <c r="C42" s="1" t="s">
        <v>38</v>
      </c>
      <c r="D42">
        <v>4</v>
      </c>
      <c r="E42" s="1" t="s">
        <v>28</v>
      </c>
      <c r="F42">
        <v>5</v>
      </c>
      <c r="G42">
        <v>3745</v>
      </c>
      <c r="H42">
        <v>119</v>
      </c>
      <c r="I42">
        <v>119</v>
      </c>
      <c r="J42">
        <v>119</v>
      </c>
      <c r="K42">
        <v>3.1775700934579439E-2</v>
      </c>
      <c r="L42">
        <v>2.662022023148217E-2</v>
      </c>
      <c r="M42">
        <v>3.7890765771501453E-2</v>
      </c>
      <c r="N42">
        <v>1</v>
      </c>
      <c r="O42">
        <v>0.96872831928015379</v>
      </c>
      <c r="P42">
        <v>1</v>
      </c>
      <c r="Q42">
        <v>0</v>
      </c>
      <c r="R42">
        <v>6.7411416533030497E-4</v>
      </c>
      <c r="S42">
        <v>-4.5137474962252191E-3</v>
      </c>
      <c r="T42">
        <v>6.8155471595342269E-3</v>
      </c>
      <c r="U42">
        <v>0</v>
      </c>
      <c r="V42">
        <v>0</v>
      </c>
      <c r="W42">
        <f>tFunnel[[#This Row],[reach_rate]] -tFunnel[[#This Row],[reach_rate_lower]]</f>
        <v>5.1554807030972684E-3</v>
      </c>
      <c r="X42">
        <f>tFunnel[[#This Row],[reach_rate_upper]]-tFunnel[[#This Row],[reach_rate]]</f>
        <v>6.1150648369220142E-3</v>
      </c>
      <c r="Y42">
        <f>tFunnel[[#This Row],[step_conversion]]-tFunnel[[#This Row],[step_conversion_lower]]</f>
        <v>3.1271680719846207E-2</v>
      </c>
      <c r="Z42" s="1">
        <f>tFunnel[[#This Row],[step_conversion_upper]]-tFunnel[[#This Row],[step_conversion]]</f>
        <v>0</v>
      </c>
      <c r="AA42" s="1">
        <f>tFunnel[[#This Row],[gap_vs_rest]]-tFunnel[[#This Row],[gap_vs_rest_lower]]</f>
        <v>5.1878616615555241E-3</v>
      </c>
      <c r="AB42" s="1">
        <f>tFunnel[[#This Row],[gap_vs_rest_upper]]-tFunnel[[#This Row],[gap_vs_rest]]</f>
        <v>6.1414329942039219E-3</v>
      </c>
    </row>
    <row r="43" spans="1:28" hidden="1" x14ac:dyDescent="0.3">
      <c r="A43" s="1" t="s">
        <v>36</v>
      </c>
      <c r="B43">
        <v>3</v>
      </c>
      <c r="C43" s="1" t="s">
        <v>39</v>
      </c>
      <c r="D43">
        <v>3</v>
      </c>
      <c r="E43" s="1" t="s">
        <v>28</v>
      </c>
      <c r="F43">
        <v>5</v>
      </c>
      <c r="G43">
        <v>66291</v>
      </c>
      <c r="H43">
        <v>2066</v>
      </c>
      <c r="I43">
        <v>2066</v>
      </c>
      <c r="J43">
        <v>2066</v>
      </c>
      <c r="K43">
        <v>3.116561825888884E-2</v>
      </c>
      <c r="L43">
        <v>2.9869776961536674E-2</v>
      </c>
      <c r="M43">
        <v>3.2515792833460268E-2</v>
      </c>
      <c r="N43">
        <v>1</v>
      </c>
      <c r="O43">
        <v>0.99814408061795579</v>
      </c>
      <c r="P43">
        <v>0.99999999999999978</v>
      </c>
      <c r="Q43">
        <v>0</v>
      </c>
      <c r="R43">
        <v>6.9977386579378464E-5</v>
      </c>
      <c r="S43">
        <v>-1.3747422626310818E-3</v>
      </c>
      <c r="T43">
        <v>1.5583417475270734E-3</v>
      </c>
      <c r="U43">
        <v>0</v>
      </c>
      <c r="V43">
        <v>0</v>
      </c>
      <c r="W43">
        <f>tFunnel[[#This Row],[reach_rate]] -tFunnel[[#This Row],[reach_rate_lower]]</f>
        <v>1.2958412973521662E-3</v>
      </c>
      <c r="X43">
        <f>tFunnel[[#This Row],[reach_rate_upper]]-tFunnel[[#This Row],[reach_rate]]</f>
        <v>1.3501745745714278E-3</v>
      </c>
      <c r="Y43">
        <f>tFunnel[[#This Row],[step_conversion]]-tFunnel[[#This Row],[step_conversion_lower]]</f>
        <v>1.8559193820442133E-3</v>
      </c>
      <c r="Z43" s="1">
        <f>tFunnel[[#This Row],[step_conversion_upper]]-tFunnel[[#This Row],[step_conversion]]</f>
        <v>0</v>
      </c>
      <c r="AA43" s="1">
        <f>tFunnel[[#This Row],[gap_vs_rest]]-tFunnel[[#This Row],[gap_vs_rest_lower]]</f>
        <v>1.4447196492104603E-3</v>
      </c>
      <c r="AB43" s="1">
        <f>tFunnel[[#This Row],[gap_vs_rest_upper]]-tFunnel[[#This Row],[gap_vs_rest]]</f>
        <v>1.488364360947695E-3</v>
      </c>
    </row>
    <row r="44" spans="1:28" hidden="1" x14ac:dyDescent="0.3">
      <c r="A44" s="1" t="s">
        <v>36</v>
      </c>
      <c r="B44">
        <v>3</v>
      </c>
      <c r="C44" s="1" t="s">
        <v>40</v>
      </c>
      <c r="D44">
        <v>2</v>
      </c>
      <c r="E44" s="1" t="s">
        <v>28</v>
      </c>
      <c r="F44">
        <v>5</v>
      </c>
      <c r="G44">
        <v>84481</v>
      </c>
      <c r="H44">
        <v>2531</v>
      </c>
      <c r="I44">
        <v>2531</v>
      </c>
      <c r="J44">
        <v>2531</v>
      </c>
      <c r="K44">
        <v>2.9959399154839549E-2</v>
      </c>
      <c r="L44">
        <v>2.8831043147495145E-2</v>
      </c>
      <c r="M44">
        <v>3.1130499910460848E-2</v>
      </c>
      <c r="N44">
        <v>1</v>
      </c>
      <c r="O44">
        <v>0.99848453682661809</v>
      </c>
      <c r="P44">
        <v>0.99999999999999978</v>
      </c>
      <c r="Q44">
        <v>0</v>
      </c>
      <c r="R44">
        <v>-1.5074170200851111E-3</v>
      </c>
      <c r="S44">
        <v>-2.8165496859634091E-3</v>
      </c>
      <c r="T44">
        <v>-1.6776518851116485E-4</v>
      </c>
      <c r="U44">
        <v>0</v>
      </c>
      <c r="V44">
        <v>0</v>
      </c>
      <c r="W44">
        <f>tFunnel[[#This Row],[reach_rate]] -tFunnel[[#This Row],[reach_rate_lower]]</f>
        <v>1.1283560073444034E-3</v>
      </c>
      <c r="X44">
        <f>tFunnel[[#This Row],[reach_rate_upper]]-tFunnel[[#This Row],[reach_rate]]</f>
        <v>1.1711007556212995E-3</v>
      </c>
      <c r="Y44">
        <f>tFunnel[[#This Row],[step_conversion]]-tFunnel[[#This Row],[step_conversion_lower]]</f>
        <v>1.5154631733819146E-3</v>
      </c>
      <c r="Z44" s="1">
        <f>tFunnel[[#This Row],[step_conversion_upper]]-tFunnel[[#This Row],[step_conversion]]</f>
        <v>0</v>
      </c>
      <c r="AA44" s="1">
        <f>tFunnel[[#This Row],[gap_vs_rest]]-tFunnel[[#This Row],[gap_vs_rest_lower]]</f>
        <v>1.309132665878298E-3</v>
      </c>
      <c r="AB44" s="1">
        <f>tFunnel[[#This Row],[gap_vs_rest_upper]]-tFunnel[[#This Row],[gap_vs_rest]]</f>
        <v>1.3396518315739463E-3</v>
      </c>
    </row>
    <row r="45" spans="1:28" hidden="1" x14ac:dyDescent="0.3">
      <c r="A45" s="1" t="s">
        <v>36</v>
      </c>
      <c r="B45">
        <v>3</v>
      </c>
      <c r="C45" s="1" t="s">
        <v>41</v>
      </c>
      <c r="D45">
        <v>1</v>
      </c>
      <c r="E45" s="1" t="s">
        <v>28</v>
      </c>
      <c r="F45">
        <v>5</v>
      </c>
      <c r="G45">
        <v>196608</v>
      </c>
      <c r="H45">
        <v>6204</v>
      </c>
      <c r="I45">
        <v>6205</v>
      </c>
      <c r="J45">
        <v>6203</v>
      </c>
      <c r="K45">
        <v>3.155517578125E-2</v>
      </c>
      <c r="L45">
        <v>3.0791565131620527E-2</v>
      </c>
      <c r="M45">
        <v>3.2337091651125013E-2</v>
      </c>
      <c r="N45">
        <v>0.99967767929089446</v>
      </c>
      <c r="O45">
        <v>0.99882544600160483</v>
      </c>
      <c r="P45">
        <v>0.99991160358595077</v>
      </c>
      <c r="Q45">
        <v>1.6118633139909736E-4</v>
      </c>
      <c r="R45">
        <v>9.9864179040815362E-4</v>
      </c>
      <c r="S45">
        <v>-1.4952995136384558E-4</v>
      </c>
      <c r="T45">
        <v>2.1424082356852905E-3</v>
      </c>
      <c r="U45">
        <v>0</v>
      </c>
      <c r="V45">
        <v>0</v>
      </c>
      <c r="W45">
        <f>tFunnel[[#This Row],[reach_rate]] -tFunnel[[#This Row],[reach_rate_lower]]</f>
        <v>7.6361064962947311E-4</v>
      </c>
      <c r="X45">
        <f>tFunnel[[#This Row],[reach_rate_upper]]-tFunnel[[#This Row],[reach_rate]]</f>
        <v>7.8191586987501338E-4</v>
      </c>
      <c r="Y45">
        <f>tFunnel[[#This Row],[step_conversion]]-tFunnel[[#This Row],[step_conversion_lower]]</f>
        <v>8.5223328928962783E-4</v>
      </c>
      <c r="Z45" s="1">
        <f>tFunnel[[#This Row],[step_conversion_upper]]-tFunnel[[#This Row],[step_conversion]]</f>
        <v>2.3392429505630918E-4</v>
      </c>
      <c r="AA45" s="1">
        <f>tFunnel[[#This Row],[gap_vs_rest]]-tFunnel[[#This Row],[gap_vs_rest_lower]]</f>
        <v>1.1481717417719992E-3</v>
      </c>
      <c r="AB45" s="1">
        <f>tFunnel[[#This Row],[gap_vs_rest_upper]]-tFunnel[[#This Row],[gap_vs_rest]]</f>
        <v>1.1437664452771368E-3</v>
      </c>
    </row>
    <row r="46" spans="1:28" hidden="1" x14ac:dyDescent="0.3">
      <c r="A46" s="1" t="s">
        <v>42</v>
      </c>
      <c r="B46">
        <v>2</v>
      </c>
      <c r="C46" s="1" t="s">
        <v>43</v>
      </c>
      <c r="D46">
        <v>3</v>
      </c>
      <c r="E46" s="1" t="s">
        <v>28</v>
      </c>
      <c r="F46">
        <v>5</v>
      </c>
      <c r="G46">
        <v>7886</v>
      </c>
      <c r="H46">
        <v>235</v>
      </c>
      <c r="I46">
        <v>235</v>
      </c>
      <c r="J46">
        <v>235</v>
      </c>
      <c r="K46">
        <v>2.9799644940400709E-2</v>
      </c>
      <c r="L46">
        <v>2.6269710105195847E-2</v>
      </c>
      <c r="M46">
        <v>3.3787448375208168E-2</v>
      </c>
      <c r="N46">
        <v>1</v>
      </c>
      <c r="O46">
        <v>0.98391628112100404</v>
      </c>
      <c r="P46">
        <v>0.99999999999999978</v>
      </c>
      <c r="Q46">
        <v>0</v>
      </c>
      <c r="R46">
        <v>-1.3387305837490038E-3</v>
      </c>
      <c r="S46">
        <v>-4.9164080498643875E-3</v>
      </c>
      <c r="T46">
        <v>2.6899106144802542E-3</v>
      </c>
      <c r="U46">
        <v>0</v>
      </c>
      <c r="V46">
        <v>0</v>
      </c>
      <c r="W46">
        <f>tFunnel[[#This Row],[reach_rate]] -tFunnel[[#This Row],[reach_rate_lower]]</f>
        <v>3.5299348352048621E-3</v>
      </c>
      <c r="X46">
        <f>tFunnel[[#This Row],[reach_rate_upper]]-tFunnel[[#This Row],[reach_rate]]</f>
        <v>3.987803434807459E-3</v>
      </c>
      <c r="Y46">
        <f>tFunnel[[#This Row],[step_conversion]]-tFunnel[[#This Row],[step_conversion_lower]]</f>
        <v>1.6083718878995956E-2</v>
      </c>
      <c r="Z46" s="1">
        <f>tFunnel[[#This Row],[step_conversion_upper]]-tFunnel[[#This Row],[step_conversion]]</f>
        <v>0</v>
      </c>
      <c r="AA46" s="1">
        <f>tFunnel[[#This Row],[gap_vs_rest]]-tFunnel[[#This Row],[gap_vs_rest_lower]]</f>
        <v>3.5776774661153837E-3</v>
      </c>
      <c r="AB46" s="1">
        <f>tFunnel[[#This Row],[gap_vs_rest_upper]]-tFunnel[[#This Row],[gap_vs_rest]]</f>
        <v>4.028641198229258E-3</v>
      </c>
    </row>
    <row r="47" spans="1:28" hidden="1" x14ac:dyDescent="0.3">
      <c r="A47" s="1" t="s">
        <v>42</v>
      </c>
      <c r="B47">
        <v>2</v>
      </c>
      <c r="C47" s="1" t="s">
        <v>44</v>
      </c>
      <c r="D47">
        <v>2</v>
      </c>
      <c r="E47" s="1" t="s">
        <v>28</v>
      </c>
      <c r="F47">
        <v>5</v>
      </c>
      <c r="G47">
        <v>141352</v>
      </c>
      <c r="H47">
        <v>4507</v>
      </c>
      <c r="I47">
        <v>4507</v>
      </c>
      <c r="J47">
        <v>4507</v>
      </c>
      <c r="K47">
        <v>3.1884939724941989E-2</v>
      </c>
      <c r="L47">
        <v>3.0981673959397608E-2</v>
      </c>
      <c r="M47">
        <v>3.2813648298327953E-2</v>
      </c>
      <c r="N47">
        <v>1</v>
      </c>
      <c r="O47">
        <v>0.99914839417073009</v>
      </c>
      <c r="P47">
        <v>1</v>
      </c>
      <c r="Q47">
        <v>0</v>
      </c>
      <c r="R47">
        <v>1.2884124657933718E-3</v>
      </c>
      <c r="S47">
        <v>1.2216759468446905E-4</v>
      </c>
      <c r="T47">
        <v>2.4640759496300474E-3</v>
      </c>
      <c r="U47">
        <v>0</v>
      </c>
      <c r="V47">
        <v>0</v>
      </c>
      <c r="W47">
        <f>tFunnel[[#This Row],[reach_rate]] -tFunnel[[#This Row],[reach_rate_lower]]</f>
        <v>9.0326576554438168E-4</v>
      </c>
      <c r="X47">
        <f>tFunnel[[#This Row],[reach_rate_upper]]-tFunnel[[#This Row],[reach_rate]]</f>
        <v>9.2870857338596402E-4</v>
      </c>
      <c r="Y47">
        <f>tFunnel[[#This Row],[step_conversion]]-tFunnel[[#This Row],[step_conversion_lower]]</f>
        <v>8.5160582926990802E-4</v>
      </c>
      <c r="Z47" s="1">
        <f>tFunnel[[#This Row],[step_conversion_upper]]-tFunnel[[#This Row],[step_conversion]]</f>
        <v>0</v>
      </c>
      <c r="AA47" s="1">
        <f>tFunnel[[#This Row],[gap_vs_rest]]-tFunnel[[#This Row],[gap_vs_rest_lower]]</f>
        <v>1.1662448711089028E-3</v>
      </c>
      <c r="AB47" s="1">
        <f>tFunnel[[#This Row],[gap_vs_rest_upper]]-tFunnel[[#This Row],[gap_vs_rest]]</f>
        <v>1.1756634838366756E-3</v>
      </c>
    </row>
    <row r="48" spans="1:28" hidden="1" x14ac:dyDescent="0.3">
      <c r="A48" s="1" t="s">
        <v>42</v>
      </c>
      <c r="B48">
        <v>2</v>
      </c>
      <c r="C48" s="1" t="s">
        <v>45</v>
      </c>
      <c r="D48">
        <v>1</v>
      </c>
      <c r="E48" s="1" t="s">
        <v>28</v>
      </c>
      <c r="F48">
        <v>5</v>
      </c>
      <c r="G48">
        <v>206354</v>
      </c>
      <c r="H48">
        <v>6320</v>
      </c>
      <c r="I48">
        <v>6321</v>
      </c>
      <c r="J48">
        <v>6319</v>
      </c>
      <c r="K48">
        <v>3.0626980819368658E-2</v>
      </c>
      <c r="L48">
        <v>2.9892245517444637E-2</v>
      </c>
      <c r="M48">
        <v>3.1379191368566296E-2</v>
      </c>
      <c r="N48">
        <v>0.99968359436797971</v>
      </c>
      <c r="O48">
        <v>0.99884698670359651</v>
      </c>
      <c r="P48">
        <v>0.99991322587528397</v>
      </c>
      <c r="Q48">
        <v>1.5822784810126583E-4</v>
      </c>
      <c r="R48">
        <v>-1.1477682391821155E-3</v>
      </c>
      <c r="S48">
        <v>-2.3111541838912691E-3</v>
      </c>
      <c r="T48">
        <v>8.3235151670123155E-6</v>
      </c>
      <c r="U48">
        <v>0</v>
      </c>
      <c r="V48">
        <v>0</v>
      </c>
      <c r="W48">
        <f>tFunnel[[#This Row],[reach_rate]] -tFunnel[[#This Row],[reach_rate_lower]]</f>
        <v>7.3473530192402076E-4</v>
      </c>
      <c r="X48">
        <f>tFunnel[[#This Row],[reach_rate_upper]]-tFunnel[[#This Row],[reach_rate]]</f>
        <v>7.5221054919763844E-4</v>
      </c>
      <c r="Y48">
        <f>tFunnel[[#This Row],[step_conversion]]-tFunnel[[#This Row],[step_conversion_lower]]</f>
        <v>8.3660766438320433E-4</v>
      </c>
      <c r="Z48" s="1">
        <f>tFunnel[[#This Row],[step_conversion_upper]]-tFunnel[[#This Row],[step_conversion]]</f>
        <v>2.2963150730426207E-4</v>
      </c>
      <c r="AA48" s="1">
        <f>tFunnel[[#This Row],[gap_vs_rest]]-tFunnel[[#This Row],[gap_vs_rest_lower]]</f>
        <v>1.1633859447091536E-3</v>
      </c>
      <c r="AB48" s="1">
        <f>tFunnel[[#This Row],[gap_vs_rest_upper]]-tFunnel[[#This Row],[gap_vs_rest]]</f>
        <v>1.1560917543491278E-3</v>
      </c>
    </row>
    <row r="49" spans="1:28" x14ac:dyDescent="0.3">
      <c r="A49" s="1" t="s">
        <v>46</v>
      </c>
      <c r="B49">
        <v>1</v>
      </c>
      <c r="C49" s="1" t="s">
        <v>47</v>
      </c>
      <c r="D49">
        <v>0</v>
      </c>
      <c r="E49" s="1" t="s">
        <v>28</v>
      </c>
      <c r="F49">
        <v>5</v>
      </c>
      <c r="G49">
        <v>355592</v>
      </c>
      <c r="H49">
        <v>11062</v>
      </c>
      <c r="I49">
        <v>11063</v>
      </c>
      <c r="J49">
        <v>11061</v>
      </c>
      <c r="K49">
        <v>3.1108686359648138E-2</v>
      </c>
      <c r="L49">
        <v>3.0543107761593798E-2</v>
      </c>
      <c r="M49">
        <v>3.1684395710040614E-2</v>
      </c>
      <c r="N49">
        <v>0.99981921721052158</v>
      </c>
      <c r="O49">
        <v>0.99934102419081039</v>
      </c>
      <c r="P49">
        <v>0.99995042143887258</v>
      </c>
      <c r="Q49">
        <v>9.0399566082082806E-5</v>
      </c>
      <c r="U49">
        <v>0</v>
      </c>
      <c r="V49">
        <v>0</v>
      </c>
      <c r="W49">
        <f>tFunnel[[#This Row],[reach_rate]] -tFunnel[[#This Row],[reach_rate_lower]]</f>
        <v>5.655785980543393E-4</v>
      </c>
      <c r="X49">
        <f>tFunnel[[#This Row],[reach_rate_upper]]-tFunnel[[#This Row],[reach_rate]]</f>
        <v>5.7570935039247609E-4</v>
      </c>
      <c r="Y49">
        <f>tFunnel[[#This Row],[step_conversion]]-tFunnel[[#This Row],[step_conversion_lower]]</f>
        <v>4.7819301971119277E-4</v>
      </c>
      <c r="Z49" s="1">
        <f>tFunnel[[#This Row],[step_conversion_upper]]-tFunnel[[#This Row],[step_conversion]]</f>
        <v>1.3120422835100065E-4</v>
      </c>
      <c r="AA49" s="1">
        <f>tFunnel[[#This Row],[gap_vs_rest]]-tFunnel[[#This Row],[gap_vs_rest_lower]]</f>
        <v>0</v>
      </c>
      <c r="AB49" s="1">
        <f>tFunnel[[#This Row],[gap_vs_rest_upper]]-tFunnel[[#This Row],[gap_vs_rest]]</f>
        <v>0</v>
      </c>
    </row>
    <row r="50" spans="1:28" hidden="1" x14ac:dyDescent="0.3">
      <c r="A50" s="1" t="s">
        <v>22</v>
      </c>
      <c r="B50">
        <v>4</v>
      </c>
      <c r="C50" s="1" t="s">
        <v>23</v>
      </c>
      <c r="D50">
        <v>6</v>
      </c>
      <c r="E50" s="1" t="s">
        <v>27</v>
      </c>
      <c r="F50">
        <v>4</v>
      </c>
      <c r="G50">
        <v>15548</v>
      </c>
      <c r="H50">
        <v>389</v>
      </c>
      <c r="I50">
        <v>566</v>
      </c>
      <c r="J50">
        <v>208</v>
      </c>
      <c r="K50">
        <v>2.501929508618472E-2</v>
      </c>
      <c r="L50">
        <v>2.2679149932151286E-2</v>
      </c>
      <c r="M50">
        <v>2.7594090117811065E-2</v>
      </c>
      <c r="N50">
        <v>0.36749116607773852</v>
      </c>
      <c r="O50">
        <v>0.32878962474684048</v>
      </c>
      <c r="P50">
        <v>0.40797926480626828</v>
      </c>
      <c r="Q50">
        <v>0.4652956298200514</v>
      </c>
      <c r="R50">
        <v>-6.3707603184099786E-3</v>
      </c>
      <c r="S50">
        <v>-8.7844747424899589E-3</v>
      </c>
      <c r="T50">
        <v>-3.7312723377300825E-3</v>
      </c>
      <c r="U50">
        <v>0</v>
      </c>
      <c r="V50">
        <v>0</v>
      </c>
      <c r="W50">
        <f>tFunnel[[#This Row],[reach_rate]] -tFunnel[[#This Row],[reach_rate_lower]]</f>
        <v>2.3401451540334336E-3</v>
      </c>
      <c r="X50">
        <f>tFunnel[[#This Row],[reach_rate_upper]]-tFunnel[[#This Row],[reach_rate]]</f>
        <v>2.5747950316263452E-3</v>
      </c>
      <c r="Y50">
        <f>tFunnel[[#This Row],[step_conversion]]-tFunnel[[#This Row],[step_conversion_lower]]</f>
        <v>3.8701541330898037E-2</v>
      </c>
      <c r="Z50" s="1">
        <f>tFunnel[[#This Row],[step_conversion_upper]]-tFunnel[[#This Row],[step_conversion]]</f>
        <v>4.0488098728529764E-2</v>
      </c>
      <c r="AA50" s="1">
        <f>tFunnel[[#This Row],[gap_vs_rest]]-tFunnel[[#This Row],[gap_vs_rest_lower]]</f>
        <v>2.4137144240799803E-3</v>
      </c>
      <c r="AB50" s="1">
        <f>tFunnel[[#This Row],[gap_vs_rest_upper]]-tFunnel[[#This Row],[gap_vs_rest]]</f>
        <v>2.6394879806798961E-3</v>
      </c>
    </row>
    <row r="51" spans="1:28" hidden="1" x14ac:dyDescent="0.3">
      <c r="A51" s="1" t="s">
        <v>22</v>
      </c>
      <c r="B51">
        <v>4</v>
      </c>
      <c r="C51" s="1" t="s">
        <v>31</v>
      </c>
      <c r="D51">
        <v>99</v>
      </c>
      <c r="E51" s="1" t="s">
        <v>27</v>
      </c>
      <c r="F51">
        <v>4</v>
      </c>
      <c r="G51">
        <v>21651</v>
      </c>
      <c r="H51">
        <v>1191</v>
      </c>
      <c r="I51">
        <v>1438</v>
      </c>
      <c r="J51">
        <v>649</v>
      </c>
      <c r="K51">
        <v>5.5009006512401273E-2</v>
      </c>
      <c r="L51">
        <v>5.2050223755691932E-2</v>
      </c>
      <c r="M51">
        <v>5.8125667553029302E-2</v>
      </c>
      <c r="N51">
        <v>0.45132127955493739</v>
      </c>
      <c r="O51">
        <v>0.42576495155004668</v>
      </c>
      <c r="P51">
        <v>0.47713699433474982</v>
      </c>
      <c r="Q51">
        <v>0.45507976490344249</v>
      </c>
      <c r="R51">
        <v>2.5446898235789536E-2</v>
      </c>
      <c r="S51">
        <v>2.2431822805500032E-2</v>
      </c>
      <c r="T51">
        <v>2.8615087771207581E-2</v>
      </c>
      <c r="U51">
        <v>0</v>
      </c>
      <c r="V51">
        <v>0</v>
      </c>
      <c r="W51">
        <f>tFunnel[[#This Row],[reach_rate]] -tFunnel[[#This Row],[reach_rate_lower]]</f>
        <v>2.9587827567093411E-3</v>
      </c>
      <c r="X51">
        <f>tFunnel[[#This Row],[reach_rate_upper]]-tFunnel[[#This Row],[reach_rate]]</f>
        <v>3.1166610406280285E-3</v>
      </c>
      <c r="Y51">
        <f>tFunnel[[#This Row],[step_conversion]]-tFunnel[[#This Row],[step_conversion_lower]]</f>
        <v>2.5556328004890716E-2</v>
      </c>
      <c r="Z51" s="1">
        <f>tFunnel[[#This Row],[step_conversion_upper]]-tFunnel[[#This Row],[step_conversion]]</f>
        <v>2.5815714779812426E-2</v>
      </c>
      <c r="AA51" s="1">
        <f>tFunnel[[#This Row],[gap_vs_rest]]-tFunnel[[#This Row],[gap_vs_rest_lower]]</f>
        <v>3.0150754302895044E-3</v>
      </c>
      <c r="AB51" s="1">
        <f>tFunnel[[#This Row],[gap_vs_rest_upper]]-tFunnel[[#This Row],[gap_vs_rest]]</f>
        <v>3.168189535418045E-3</v>
      </c>
    </row>
    <row r="52" spans="1:28" hidden="1" x14ac:dyDescent="0.3">
      <c r="A52" s="1" t="s">
        <v>22</v>
      </c>
      <c r="B52">
        <v>4</v>
      </c>
      <c r="C52" s="1" t="s">
        <v>32</v>
      </c>
      <c r="D52">
        <v>4</v>
      </c>
      <c r="E52" s="1" t="s">
        <v>27</v>
      </c>
      <c r="F52">
        <v>4</v>
      </c>
      <c r="G52">
        <v>51789</v>
      </c>
      <c r="H52">
        <v>1384</v>
      </c>
      <c r="I52">
        <v>1981</v>
      </c>
      <c r="J52">
        <v>760</v>
      </c>
      <c r="K52">
        <v>2.6723821660970478E-2</v>
      </c>
      <c r="L52">
        <v>2.5369550270610098E-2</v>
      </c>
      <c r="M52">
        <v>2.8148298544112313E-2</v>
      </c>
      <c r="N52">
        <v>0.38364462392730941</v>
      </c>
      <c r="O52">
        <v>0.3624759457568395</v>
      </c>
      <c r="P52">
        <v>0.40526369010312957</v>
      </c>
      <c r="Q52">
        <v>0.45086705202312138</v>
      </c>
      <c r="R52">
        <v>-5.1356398980003E-3</v>
      </c>
      <c r="S52">
        <v>-6.6294687177442411E-3</v>
      </c>
      <c r="T52">
        <v>-3.5826361877268368E-3</v>
      </c>
      <c r="U52">
        <v>0</v>
      </c>
      <c r="V52">
        <v>0</v>
      </c>
      <c r="W52">
        <f>tFunnel[[#This Row],[reach_rate]] -tFunnel[[#This Row],[reach_rate_lower]]</f>
        <v>1.3542713903603801E-3</v>
      </c>
      <c r="X52">
        <f>tFunnel[[#This Row],[reach_rate_upper]]-tFunnel[[#This Row],[reach_rate]]</f>
        <v>1.4244768831418349E-3</v>
      </c>
      <c r="Y52">
        <f>tFunnel[[#This Row],[step_conversion]]-tFunnel[[#This Row],[step_conversion_lower]]</f>
        <v>2.1168678170469912E-2</v>
      </c>
      <c r="Z52" s="1">
        <f>tFunnel[[#This Row],[step_conversion_upper]]-tFunnel[[#This Row],[step_conversion]]</f>
        <v>2.1619066175820156E-2</v>
      </c>
      <c r="AA52" s="1">
        <f>tFunnel[[#This Row],[gap_vs_rest]]-tFunnel[[#This Row],[gap_vs_rest_lower]]</f>
        <v>1.4938288197439411E-3</v>
      </c>
      <c r="AB52" s="1">
        <f>tFunnel[[#This Row],[gap_vs_rest_upper]]-tFunnel[[#This Row],[gap_vs_rest]]</f>
        <v>1.5530037102734632E-3</v>
      </c>
    </row>
    <row r="53" spans="1:28" hidden="1" x14ac:dyDescent="0.3">
      <c r="A53" s="1" t="s">
        <v>22</v>
      </c>
      <c r="B53">
        <v>4</v>
      </c>
      <c r="C53" s="1" t="s">
        <v>33</v>
      </c>
      <c r="D53">
        <v>3</v>
      </c>
      <c r="E53" s="1" t="s">
        <v>27</v>
      </c>
      <c r="F53">
        <v>4</v>
      </c>
      <c r="G53">
        <v>62331</v>
      </c>
      <c r="H53">
        <v>2183</v>
      </c>
      <c r="I53">
        <v>2896</v>
      </c>
      <c r="J53">
        <v>1163</v>
      </c>
      <c r="K53">
        <v>3.502270138454381E-2</v>
      </c>
      <c r="L53">
        <v>3.3607906562159555E-2</v>
      </c>
      <c r="M53">
        <v>3.6494805767089397E-2</v>
      </c>
      <c r="N53">
        <v>0.40158839779005523</v>
      </c>
      <c r="O53">
        <v>0.38387595948366349</v>
      </c>
      <c r="P53">
        <v>0.41956157043568071</v>
      </c>
      <c r="Q53">
        <v>0.467246907924874</v>
      </c>
      <c r="R53">
        <v>4.7425072912276184E-3</v>
      </c>
      <c r="S53">
        <v>3.1952579758029046E-3</v>
      </c>
      <c r="T53">
        <v>6.3375505711116423E-3</v>
      </c>
      <c r="U53">
        <v>0</v>
      </c>
      <c r="V53">
        <v>0</v>
      </c>
      <c r="W53">
        <f>tFunnel[[#This Row],[reach_rate]] -tFunnel[[#This Row],[reach_rate_lower]]</f>
        <v>1.4147948223842549E-3</v>
      </c>
      <c r="X53">
        <f>tFunnel[[#This Row],[reach_rate_upper]]-tFunnel[[#This Row],[reach_rate]]</f>
        <v>1.4721043825455873E-3</v>
      </c>
      <c r="Y53">
        <f>tFunnel[[#This Row],[step_conversion]]-tFunnel[[#This Row],[step_conversion_lower]]</f>
        <v>1.7712438306391742E-2</v>
      </c>
      <c r="Z53" s="1">
        <f>tFunnel[[#This Row],[step_conversion_upper]]-tFunnel[[#This Row],[step_conversion]]</f>
        <v>1.7973172645625479E-2</v>
      </c>
      <c r="AA53" s="1">
        <f>tFunnel[[#This Row],[gap_vs_rest]]-tFunnel[[#This Row],[gap_vs_rest_lower]]</f>
        <v>1.5472493154247138E-3</v>
      </c>
      <c r="AB53" s="1">
        <f>tFunnel[[#This Row],[gap_vs_rest_upper]]-tFunnel[[#This Row],[gap_vs_rest]]</f>
        <v>1.5950432798840239E-3</v>
      </c>
    </row>
    <row r="54" spans="1:28" hidden="1" x14ac:dyDescent="0.3">
      <c r="A54" s="1" t="s">
        <v>22</v>
      </c>
      <c r="B54">
        <v>4</v>
      </c>
      <c r="C54" s="1" t="s">
        <v>34</v>
      </c>
      <c r="D54">
        <v>2</v>
      </c>
      <c r="E54" s="1" t="s">
        <v>27</v>
      </c>
      <c r="F54">
        <v>4</v>
      </c>
      <c r="G54">
        <v>82493</v>
      </c>
      <c r="H54">
        <v>2500</v>
      </c>
      <c r="I54">
        <v>3501</v>
      </c>
      <c r="J54">
        <v>1380</v>
      </c>
      <c r="K54">
        <v>3.0305601687415903E-2</v>
      </c>
      <c r="L54">
        <v>2.9157477373229462E-2</v>
      </c>
      <c r="M54">
        <v>3.1497468566432346E-2</v>
      </c>
      <c r="N54">
        <v>0.39417309340188517</v>
      </c>
      <c r="O54">
        <v>0.37811041365477455</v>
      </c>
      <c r="P54">
        <v>0.41046775494617593</v>
      </c>
      <c r="Q54">
        <v>0.44800000000000001</v>
      </c>
      <c r="R54">
        <v>-1.0493282098008594E-3</v>
      </c>
      <c r="S54">
        <v>-2.3737537572510858E-3</v>
      </c>
      <c r="T54">
        <v>3.0685210518452237E-4</v>
      </c>
      <c r="U54">
        <v>0</v>
      </c>
      <c r="V54">
        <v>0</v>
      </c>
      <c r="W54">
        <f>tFunnel[[#This Row],[reach_rate]] -tFunnel[[#This Row],[reach_rate_lower]]</f>
        <v>1.1481243141864411E-3</v>
      </c>
      <c r="X54">
        <f>tFunnel[[#This Row],[reach_rate_upper]]-tFunnel[[#This Row],[reach_rate]]</f>
        <v>1.1918668790164427E-3</v>
      </c>
      <c r="Y54">
        <f>tFunnel[[#This Row],[step_conversion]]-tFunnel[[#This Row],[step_conversion_lower]]</f>
        <v>1.606267974711062E-2</v>
      </c>
      <c r="Z54" s="1">
        <f>tFunnel[[#This Row],[step_conversion_upper]]-tFunnel[[#This Row],[step_conversion]]</f>
        <v>1.6294661544290767E-2</v>
      </c>
      <c r="AA54" s="1">
        <f>tFunnel[[#This Row],[gap_vs_rest]]-tFunnel[[#This Row],[gap_vs_rest_lower]]</f>
        <v>1.3244255474502264E-3</v>
      </c>
      <c r="AB54" s="1">
        <f>tFunnel[[#This Row],[gap_vs_rest_upper]]-tFunnel[[#This Row],[gap_vs_rest]]</f>
        <v>1.3561803149853818E-3</v>
      </c>
    </row>
    <row r="55" spans="1:28" hidden="1" x14ac:dyDescent="0.3">
      <c r="A55" s="1" t="s">
        <v>22</v>
      </c>
      <c r="B55">
        <v>4</v>
      </c>
      <c r="C55" s="1" t="s">
        <v>35</v>
      </c>
      <c r="D55">
        <v>1</v>
      </c>
      <c r="E55" s="1" t="s">
        <v>27</v>
      </c>
      <c r="F55">
        <v>4</v>
      </c>
      <c r="G55">
        <v>121780</v>
      </c>
      <c r="H55">
        <v>3416</v>
      </c>
      <c r="I55">
        <v>4724</v>
      </c>
      <c r="J55">
        <v>1792</v>
      </c>
      <c r="K55">
        <v>2.8050583018558055E-2</v>
      </c>
      <c r="L55">
        <v>2.7137995315790347E-2</v>
      </c>
      <c r="M55">
        <v>2.8992944363833144E-2</v>
      </c>
      <c r="N55">
        <v>0.37933954276037257</v>
      </c>
      <c r="O55">
        <v>0.36560610175707797</v>
      </c>
      <c r="P55">
        <v>0.39326906148290364</v>
      </c>
      <c r="Q55">
        <v>0.47540983606557374</v>
      </c>
      <c r="R55">
        <v>-4.6551805863895082E-3</v>
      </c>
      <c r="S55">
        <v>-5.8229851569646341E-3</v>
      </c>
      <c r="T55">
        <v>-3.4732943946070112E-3</v>
      </c>
      <c r="U55">
        <v>0</v>
      </c>
      <c r="V55">
        <v>0</v>
      </c>
      <c r="W55">
        <f>tFunnel[[#This Row],[reach_rate]] -tFunnel[[#This Row],[reach_rate_lower]]</f>
        <v>9.1258770276770804E-4</v>
      </c>
      <c r="X55">
        <f>tFunnel[[#This Row],[reach_rate_upper]]-tFunnel[[#This Row],[reach_rate]]</f>
        <v>9.4236134527508897E-4</v>
      </c>
      <c r="Y55">
        <f>tFunnel[[#This Row],[step_conversion]]-tFunnel[[#This Row],[step_conversion_lower]]</f>
        <v>1.37334410032946E-2</v>
      </c>
      <c r="Z55" s="1">
        <f>tFunnel[[#This Row],[step_conversion_upper]]-tFunnel[[#This Row],[step_conversion]]</f>
        <v>1.3929518722531065E-2</v>
      </c>
      <c r="AA55" s="1">
        <f>tFunnel[[#This Row],[gap_vs_rest]]-tFunnel[[#This Row],[gap_vs_rest_lower]]</f>
        <v>1.1678045705751259E-3</v>
      </c>
      <c r="AB55" s="1">
        <f>tFunnel[[#This Row],[gap_vs_rest_upper]]-tFunnel[[#This Row],[gap_vs_rest]]</f>
        <v>1.181886191782497E-3</v>
      </c>
    </row>
    <row r="56" spans="1:28" hidden="1" x14ac:dyDescent="0.3">
      <c r="A56" s="1" t="s">
        <v>36</v>
      </c>
      <c r="B56">
        <v>3</v>
      </c>
      <c r="C56" s="1" t="s">
        <v>31</v>
      </c>
      <c r="D56">
        <v>99</v>
      </c>
      <c r="E56" s="1" t="s">
        <v>27</v>
      </c>
      <c r="F56">
        <v>4</v>
      </c>
      <c r="G56">
        <v>803</v>
      </c>
      <c r="H56">
        <v>29</v>
      </c>
      <c r="I56">
        <v>39</v>
      </c>
      <c r="J56">
        <v>16</v>
      </c>
      <c r="K56">
        <v>3.6114570361145702E-2</v>
      </c>
      <c r="L56">
        <v>2.5261265839215483E-2</v>
      </c>
      <c r="M56">
        <v>5.1385091633590375E-2</v>
      </c>
      <c r="N56">
        <v>0.41025641025641024</v>
      </c>
      <c r="O56">
        <v>0.27079309906045285</v>
      </c>
      <c r="P56">
        <v>0.5658137723489588</v>
      </c>
      <c r="Q56">
        <v>0.44827586206896552</v>
      </c>
      <c r="R56">
        <v>5.0143953275341747E-3</v>
      </c>
      <c r="S56">
        <v>-5.8541984194771766E-3</v>
      </c>
      <c r="T56">
        <v>2.0295407429751298E-2</v>
      </c>
      <c r="U56">
        <v>0</v>
      </c>
      <c r="V56">
        <v>1</v>
      </c>
      <c r="W56">
        <f>tFunnel[[#This Row],[reach_rate]] -tFunnel[[#This Row],[reach_rate_lower]]</f>
        <v>1.0853304521930219E-2</v>
      </c>
      <c r="X56">
        <f>tFunnel[[#This Row],[reach_rate_upper]]-tFunnel[[#This Row],[reach_rate]]</f>
        <v>1.5270521272444673E-2</v>
      </c>
      <c r="Y56">
        <f>tFunnel[[#This Row],[step_conversion]]-tFunnel[[#This Row],[step_conversion_lower]]</f>
        <v>0.1394633111959574</v>
      </c>
      <c r="Z56" s="1">
        <f>tFunnel[[#This Row],[step_conversion_upper]]-tFunnel[[#This Row],[step_conversion]]</f>
        <v>0.15555736209254856</v>
      </c>
      <c r="AA56" s="1">
        <f>tFunnel[[#This Row],[gap_vs_rest]]-tFunnel[[#This Row],[gap_vs_rest_lower]]</f>
        <v>1.0868593747011351E-2</v>
      </c>
      <c r="AB56" s="1">
        <f>tFunnel[[#This Row],[gap_vs_rest_upper]]-tFunnel[[#This Row],[gap_vs_rest]]</f>
        <v>1.5281012102217124E-2</v>
      </c>
    </row>
    <row r="57" spans="1:28" hidden="1" x14ac:dyDescent="0.3">
      <c r="A57" s="1" t="s">
        <v>36</v>
      </c>
      <c r="B57">
        <v>3</v>
      </c>
      <c r="C57" s="1" t="s">
        <v>37</v>
      </c>
      <c r="D57">
        <v>5</v>
      </c>
      <c r="E57" s="1" t="s">
        <v>27</v>
      </c>
      <c r="F57">
        <v>4</v>
      </c>
      <c r="G57">
        <v>3664</v>
      </c>
      <c r="H57">
        <v>113</v>
      </c>
      <c r="I57">
        <v>144</v>
      </c>
      <c r="J57">
        <v>54</v>
      </c>
      <c r="K57">
        <v>3.0840611353711789E-2</v>
      </c>
      <c r="L57">
        <v>2.5715419972161851E-2</v>
      </c>
      <c r="M57">
        <v>3.6948536869472852E-2</v>
      </c>
      <c r="N57">
        <v>0.375</v>
      </c>
      <c r="O57">
        <v>0.30014248587873893</v>
      </c>
      <c r="P57">
        <v>0.45635342350683539</v>
      </c>
      <c r="Q57">
        <v>0.52212389380530977</v>
      </c>
      <c r="R57">
        <v>-2.7370748423233629E-4</v>
      </c>
      <c r="S57">
        <v>-5.4314751788780468E-3</v>
      </c>
      <c r="T57">
        <v>5.8606214091159571E-3</v>
      </c>
      <c r="U57">
        <v>0</v>
      </c>
      <c r="V57">
        <v>0</v>
      </c>
      <c r="W57">
        <f>tFunnel[[#This Row],[reach_rate]] -tFunnel[[#This Row],[reach_rate_lower]]</f>
        <v>5.1251913815499386E-3</v>
      </c>
      <c r="X57">
        <f>tFunnel[[#This Row],[reach_rate_upper]]-tFunnel[[#This Row],[reach_rate]]</f>
        <v>6.1079255157610625E-3</v>
      </c>
      <c r="Y57">
        <f>tFunnel[[#This Row],[step_conversion]]-tFunnel[[#This Row],[step_conversion_lower]]</f>
        <v>7.4857514121261071E-2</v>
      </c>
      <c r="Z57" s="1">
        <f>tFunnel[[#This Row],[step_conversion_upper]]-tFunnel[[#This Row],[step_conversion]]</f>
        <v>8.1353423506835387E-2</v>
      </c>
      <c r="AA57" s="1">
        <f>tFunnel[[#This Row],[gap_vs_rest]]-tFunnel[[#This Row],[gap_vs_rest_lower]]</f>
        <v>5.1577676946457105E-3</v>
      </c>
      <c r="AB57" s="1">
        <f>tFunnel[[#This Row],[gap_vs_rest_upper]]-tFunnel[[#This Row],[gap_vs_rest]]</f>
        <v>6.1343288933482934E-3</v>
      </c>
    </row>
    <row r="58" spans="1:28" hidden="1" x14ac:dyDescent="0.3">
      <c r="A58" s="1" t="s">
        <v>36</v>
      </c>
      <c r="B58">
        <v>3</v>
      </c>
      <c r="C58" s="1" t="s">
        <v>38</v>
      </c>
      <c r="D58">
        <v>4</v>
      </c>
      <c r="E58" s="1" t="s">
        <v>27</v>
      </c>
      <c r="F58">
        <v>4</v>
      </c>
      <c r="G58">
        <v>3745</v>
      </c>
      <c r="H58">
        <v>119</v>
      </c>
      <c r="I58">
        <v>159</v>
      </c>
      <c r="J58">
        <v>62</v>
      </c>
      <c r="K58">
        <v>3.1775700934579439E-2</v>
      </c>
      <c r="L58">
        <v>2.662022023148217E-2</v>
      </c>
      <c r="M58">
        <v>3.7890765771501453E-2</v>
      </c>
      <c r="N58">
        <v>0.38993710691823902</v>
      </c>
      <c r="O58">
        <v>0.31757673598160663</v>
      </c>
      <c r="P58">
        <v>0.46749028417132998</v>
      </c>
      <c r="Q58">
        <v>0.47899159663865548</v>
      </c>
      <c r="R58">
        <v>6.7127202087547203E-4</v>
      </c>
      <c r="S58">
        <v>-4.5165924668289096E-3</v>
      </c>
      <c r="T58">
        <v>6.8127073659261196E-3</v>
      </c>
      <c r="U58">
        <v>0</v>
      </c>
      <c r="V58">
        <v>0</v>
      </c>
      <c r="W58">
        <f>tFunnel[[#This Row],[reach_rate]] -tFunnel[[#This Row],[reach_rate_lower]]</f>
        <v>5.1554807030972684E-3</v>
      </c>
      <c r="X58">
        <f>tFunnel[[#This Row],[reach_rate_upper]]-tFunnel[[#This Row],[reach_rate]]</f>
        <v>6.1150648369220142E-3</v>
      </c>
      <c r="Y58">
        <f>tFunnel[[#This Row],[step_conversion]]-tFunnel[[#This Row],[step_conversion_lower]]</f>
        <v>7.236037093663239E-2</v>
      </c>
      <c r="Z58" s="1">
        <f>tFunnel[[#This Row],[step_conversion_upper]]-tFunnel[[#This Row],[step_conversion]]</f>
        <v>7.7553177253090966E-2</v>
      </c>
      <c r="AA58" s="1">
        <f>tFunnel[[#This Row],[gap_vs_rest]]-tFunnel[[#This Row],[gap_vs_rest_lower]]</f>
        <v>5.1878644877043816E-3</v>
      </c>
      <c r="AB58" s="1">
        <f>tFunnel[[#This Row],[gap_vs_rest_upper]]-tFunnel[[#This Row],[gap_vs_rest]]</f>
        <v>6.1414353450506476E-3</v>
      </c>
    </row>
    <row r="59" spans="1:28" hidden="1" x14ac:dyDescent="0.3">
      <c r="A59" s="1" t="s">
        <v>36</v>
      </c>
      <c r="B59">
        <v>3</v>
      </c>
      <c r="C59" s="1" t="s">
        <v>39</v>
      </c>
      <c r="D59">
        <v>3</v>
      </c>
      <c r="E59" s="1" t="s">
        <v>27</v>
      </c>
      <c r="F59">
        <v>4</v>
      </c>
      <c r="G59">
        <v>66291</v>
      </c>
      <c r="H59">
        <v>2066</v>
      </c>
      <c r="I59">
        <v>2782</v>
      </c>
      <c r="J59">
        <v>1110</v>
      </c>
      <c r="K59">
        <v>3.116561825888884E-2</v>
      </c>
      <c r="L59">
        <v>2.9869776961536674E-2</v>
      </c>
      <c r="M59">
        <v>3.2515792833460268E-2</v>
      </c>
      <c r="N59">
        <v>0.39899352983465131</v>
      </c>
      <c r="O59">
        <v>0.38094815201571863</v>
      </c>
      <c r="P59">
        <v>0.41731746779967427</v>
      </c>
      <c r="Q59">
        <v>0.462729912875121</v>
      </c>
      <c r="R59">
        <v>6.6520779101353344E-5</v>
      </c>
      <c r="S59">
        <v>-1.3782138928520797E-3</v>
      </c>
      <c r="T59">
        <v>1.5548994766307128E-3</v>
      </c>
      <c r="U59">
        <v>0</v>
      </c>
      <c r="V59">
        <v>0</v>
      </c>
      <c r="W59">
        <f>tFunnel[[#This Row],[reach_rate]] -tFunnel[[#This Row],[reach_rate_lower]]</f>
        <v>1.2958412973521662E-3</v>
      </c>
      <c r="X59">
        <f>tFunnel[[#This Row],[reach_rate_upper]]-tFunnel[[#This Row],[reach_rate]]</f>
        <v>1.3501745745714278E-3</v>
      </c>
      <c r="Y59">
        <f>tFunnel[[#This Row],[step_conversion]]-tFunnel[[#This Row],[step_conversion_lower]]</f>
        <v>1.8045377818932673E-2</v>
      </c>
      <c r="Z59" s="1">
        <f>tFunnel[[#This Row],[step_conversion_upper]]-tFunnel[[#This Row],[step_conversion]]</f>
        <v>1.8323937965022963E-2</v>
      </c>
      <c r="AA59" s="1">
        <f>tFunnel[[#This Row],[gap_vs_rest]]-tFunnel[[#This Row],[gap_vs_rest_lower]]</f>
        <v>1.444734671953433E-3</v>
      </c>
      <c r="AB59" s="1">
        <f>tFunnel[[#This Row],[gap_vs_rest_upper]]-tFunnel[[#This Row],[gap_vs_rest]]</f>
        <v>1.4883786975293594E-3</v>
      </c>
    </row>
    <row r="60" spans="1:28" hidden="1" x14ac:dyDescent="0.3">
      <c r="A60" s="1" t="s">
        <v>36</v>
      </c>
      <c r="B60">
        <v>3</v>
      </c>
      <c r="C60" s="1" t="s">
        <v>40</v>
      </c>
      <c r="D60">
        <v>2</v>
      </c>
      <c r="E60" s="1" t="s">
        <v>27</v>
      </c>
      <c r="F60">
        <v>4</v>
      </c>
      <c r="G60">
        <v>84481</v>
      </c>
      <c r="H60">
        <v>2531</v>
      </c>
      <c r="I60">
        <v>3463</v>
      </c>
      <c r="J60">
        <v>1303</v>
      </c>
      <c r="K60">
        <v>2.9959399154839549E-2</v>
      </c>
      <c r="L60">
        <v>2.8831043147495145E-2</v>
      </c>
      <c r="M60">
        <v>3.1130499910460848E-2</v>
      </c>
      <c r="N60">
        <v>0.37626335547213396</v>
      </c>
      <c r="O60">
        <v>0.36027384129155304</v>
      </c>
      <c r="P60">
        <v>0.39252708422970156</v>
      </c>
      <c r="Q60">
        <v>0.48518372184907149</v>
      </c>
      <c r="R60">
        <v>-1.5111055461869694E-3</v>
      </c>
      <c r="S60">
        <v>-2.8202570788083596E-3</v>
      </c>
      <c r="T60">
        <v>-1.7143559567574717E-4</v>
      </c>
      <c r="U60">
        <v>0</v>
      </c>
      <c r="V60">
        <v>0</v>
      </c>
      <c r="W60">
        <f>tFunnel[[#This Row],[reach_rate]] -tFunnel[[#This Row],[reach_rate_lower]]</f>
        <v>1.1283560073444034E-3</v>
      </c>
      <c r="X60">
        <f>tFunnel[[#This Row],[reach_rate_upper]]-tFunnel[[#This Row],[reach_rate]]</f>
        <v>1.1711007556212995E-3</v>
      </c>
      <c r="Y60">
        <f>tFunnel[[#This Row],[step_conversion]]-tFunnel[[#This Row],[step_conversion_lower]]</f>
        <v>1.5989514180580922E-2</v>
      </c>
      <c r="Z60" s="1">
        <f>tFunnel[[#This Row],[step_conversion_upper]]-tFunnel[[#This Row],[step_conversion]]</f>
        <v>1.6263728757567597E-2</v>
      </c>
      <c r="AA60" s="1">
        <f>tFunnel[[#This Row],[gap_vs_rest]]-tFunnel[[#This Row],[gap_vs_rest_lower]]</f>
        <v>1.3091515326213903E-3</v>
      </c>
      <c r="AB60" s="1">
        <f>tFunnel[[#This Row],[gap_vs_rest_upper]]-tFunnel[[#This Row],[gap_vs_rest]]</f>
        <v>1.3396699505112222E-3</v>
      </c>
    </row>
    <row r="61" spans="1:28" hidden="1" x14ac:dyDescent="0.3">
      <c r="A61" s="1" t="s">
        <v>36</v>
      </c>
      <c r="B61">
        <v>3</v>
      </c>
      <c r="C61" s="1" t="s">
        <v>41</v>
      </c>
      <c r="D61">
        <v>1</v>
      </c>
      <c r="E61" s="1" t="s">
        <v>27</v>
      </c>
      <c r="F61">
        <v>4</v>
      </c>
      <c r="G61">
        <v>196608</v>
      </c>
      <c r="H61">
        <v>6205</v>
      </c>
      <c r="I61">
        <v>8519</v>
      </c>
      <c r="J61">
        <v>3407</v>
      </c>
      <c r="K61">
        <v>3.1560262044270836E-2</v>
      </c>
      <c r="L61">
        <v>3.0796591057403483E-2</v>
      </c>
      <c r="M61">
        <v>3.2342238052629979E-2</v>
      </c>
      <c r="N61">
        <v>0.39992956919826272</v>
      </c>
      <c r="O61">
        <v>0.38957420635338674</v>
      </c>
      <c r="P61">
        <v>0.41037514056033642</v>
      </c>
      <c r="Q61">
        <v>0.45092667203867848</v>
      </c>
      <c r="R61">
        <v>1.0037280534289893E-3</v>
      </c>
      <c r="S61">
        <v>-1.4448381750736231E-4</v>
      </c>
      <c r="T61">
        <v>2.1475356121681321E-3</v>
      </c>
      <c r="U61">
        <v>0</v>
      </c>
      <c r="V61">
        <v>0</v>
      </c>
      <c r="W61">
        <f>tFunnel[[#This Row],[reach_rate]] -tFunnel[[#This Row],[reach_rate_lower]]</f>
        <v>7.6367098686735274E-4</v>
      </c>
      <c r="X61">
        <f>tFunnel[[#This Row],[reach_rate_upper]]-tFunnel[[#This Row],[reach_rate]]</f>
        <v>7.8197600835914344E-4</v>
      </c>
      <c r="Y61">
        <f>tFunnel[[#This Row],[step_conversion]]-tFunnel[[#This Row],[step_conversion_lower]]</f>
        <v>1.0355362844875982E-2</v>
      </c>
      <c r="Z61" s="1">
        <f>tFunnel[[#This Row],[step_conversion_upper]]-tFunnel[[#This Row],[step_conversion]]</f>
        <v>1.0445571362073691E-2</v>
      </c>
      <c r="AA61" s="1">
        <f>tFunnel[[#This Row],[gap_vs_rest]]-tFunnel[[#This Row],[gap_vs_rest_lower]]</f>
        <v>1.1482118709363516E-3</v>
      </c>
      <c r="AB61" s="1">
        <f>tFunnel[[#This Row],[gap_vs_rest_upper]]-tFunnel[[#This Row],[gap_vs_rest]]</f>
        <v>1.1438075587391428E-3</v>
      </c>
    </row>
    <row r="62" spans="1:28" hidden="1" x14ac:dyDescent="0.3">
      <c r="A62" s="1" t="s">
        <v>42</v>
      </c>
      <c r="B62">
        <v>2</v>
      </c>
      <c r="C62" s="1" t="s">
        <v>43</v>
      </c>
      <c r="D62">
        <v>3</v>
      </c>
      <c r="E62" s="1" t="s">
        <v>27</v>
      </c>
      <c r="F62">
        <v>4</v>
      </c>
      <c r="G62">
        <v>7886</v>
      </c>
      <c r="H62">
        <v>235</v>
      </c>
      <c r="I62">
        <v>319</v>
      </c>
      <c r="J62">
        <v>129</v>
      </c>
      <c r="K62">
        <v>2.9799644940400709E-2</v>
      </c>
      <c r="L62">
        <v>2.6269710105195847E-2</v>
      </c>
      <c r="M62">
        <v>3.3787448375208168E-2</v>
      </c>
      <c r="N62">
        <v>0.40438871473354232</v>
      </c>
      <c r="O62">
        <v>0.35197971499491276</v>
      </c>
      <c r="P62">
        <v>0.45907305309944524</v>
      </c>
      <c r="Q62">
        <v>0.45106382978723403</v>
      </c>
      <c r="R62">
        <v>-1.341606576685566E-3</v>
      </c>
      <c r="S62">
        <v>-4.9192882389220514E-3</v>
      </c>
      <c r="T62">
        <v>2.6870382907091738E-3</v>
      </c>
      <c r="U62">
        <v>0</v>
      </c>
      <c r="V62">
        <v>0</v>
      </c>
      <c r="W62">
        <f>tFunnel[[#This Row],[reach_rate]] -tFunnel[[#This Row],[reach_rate_lower]]</f>
        <v>3.5299348352048621E-3</v>
      </c>
      <c r="X62">
        <f>tFunnel[[#This Row],[reach_rate_upper]]-tFunnel[[#This Row],[reach_rate]]</f>
        <v>3.987803434807459E-3</v>
      </c>
      <c r="Y62">
        <f>tFunnel[[#This Row],[step_conversion]]-tFunnel[[#This Row],[step_conversion_lower]]</f>
        <v>5.2408999738629558E-2</v>
      </c>
      <c r="Z62" s="1">
        <f>tFunnel[[#This Row],[step_conversion_upper]]-tFunnel[[#This Row],[step_conversion]]</f>
        <v>5.4684338365902918E-2</v>
      </c>
      <c r="AA62" s="1">
        <f>tFunnel[[#This Row],[gap_vs_rest]]-tFunnel[[#This Row],[gap_vs_rest_lower]]</f>
        <v>3.5776816622364854E-3</v>
      </c>
      <c r="AB62" s="1">
        <f>tFunnel[[#This Row],[gap_vs_rest_upper]]-tFunnel[[#This Row],[gap_vs_rest]]</f>
        <v>4.0286448673947399E-3</v>
      </c>
    </row>
    <row r="63" spans="1:28" hidden="1" x14ac:dyDescent="0.3">
      <c r="A63" s="1" t="s">
        <v>42</v>
      </c>
      <c r="B63">
        <v>2</v>
      </c>
      <c r="C63" s="1" t="s">
        <v>44</v>
      </c>
      <c r="D63">
        <v>2</v>
      </c>
      <c r="E63" s="1" t="s">
        <v>27</v>
      </c>
      <c r="F63">
        <v>4</v>
      </c>
      <c r="G63">
        <v>141352</v>
      </c>
      <c r="H63">
        <v>4507</v>
      </c>
      <c r="I63">
        <v>6033</v>
      </c>
      <c r="J63">
        <v>2421</v>
      </c>
      <c r="K63">
        <v>3.1884939724941989E-2</v>
      </c>
      <c r="L63">
        <v>3.0981673959397608E-2</v>
      </c>
      <c r="M63">
        <v>3.2813648298327953E-2</v>
      </c>
      <c r="N63">
        <v>0.40129288910989558</v>
      </c>
      <c r="O63">
        <v>0.38899090975717876</v>
      </c>
      <c r="P63">
        <v>0.41372049021708734</v>
      </c>
      <c r="Q63">
        <v>0.46283558908364764</v>
      </c>
      <c r="R63">
        <v>1.2837448033587197E-3</v>
      </c>
      <c r="S63">
        <v>1.1746591217399473E-4</v>
      </c>
      <c r="T63">
        <v>2.4594413673768786E-3</v>
      </c>
      <c r="U63">
        <v>0</v>
      </c>
      <c r="V63">
        <v>0</v>
      </c>
      <c r="W63">
        <f>tFunnel[[#This Row],[reach_rate]] -tFunnel[[#This Row],[reach_rate_lower]]</f>
        <v>9.0326576554438168E-4</v>
      </c>
      <c r="X63">
        <f>tFunnel[[#This Row],[reach_rate_upper]]-tFunnel[[#This Row],[reach_rate]]</f>
        <v>9.2870857338596402E-4</v>
      </c>
      <c r="Y63">
        <f>tFunnel[[#This Row],[step_conversion]]-tFunnel[[#This Row],[step_conversion_lower]]</f>
        <v>1.2301979352716819E-2</v>
      </c>
      <c r="Z63" s="1">
        <f>tFunnel[[#This Row],[step_conversion_upper]]-tFunnel[[#This Row],[step_conversion]]</f>
        <v>1.2427601107191766E-2</v>
      </c>
      <c r="AA63" s="1">
        <f>tFunnel[[#This Row],[gap_vs_rest]]-tFunnel[[#This Row],[gap_vs_rest_lower]]</f>
        <v>1.166278891184725E-3</v>
      </c>
      <c r="AB63" s="1">
        <f>tFunnel[[#This Row],[gap_vs_rest_upper]]-tFunnel[[#This Row],[gap_vs_rest]]</f>
        <v>1.1756965640181589E-3</v>
      </c>
    </row>
    <row r="64" spans="1:28" hidden="1" x14ac:dyDescent="0.3">
      <c r="A64" s="1" t="s">
        <v>42</v>
      </c>
      <c r="B64">
        <v>2</v>
      </c>
      <c r="C64" s="1" t="s">
        <v>45</v>
      </c>
      <c r="D64">
        <v>1</v>
      </c>
      <c r="E64" s="1" t="s">
        <v>27</v>
      </c>
      <c r="F64">
        <v>4</v>
      </c>
      <c r="G64">
        <v>206354</v>
      </c>
      <c r="H64">
        <v>6321</v>
      </c>
      <c r="I64">
        <v>8754</v>
      </c>
      <c r="J64">
        <v>3402</v>
      </c>
      <c r="K64">
        <v>3.0631826860637545E-2</v>
      </c>
      <c r="L64">
        <v>2.9897034519210507E-2</v>
      </c>
      <c r="M64">
        <v>3.138409426891503E-2</v>
      </c>
      <c r="N64">
        <v>0.38862234407128171</v>
      </c>
      <c r="O64">
        <v>0.37846243307281124</v>
      </c>
      <c r="P64">
        <v>0.39887996240724038</v>
      </c>
      <c r="Q64">
        <v>0.46179401993355484</v>
      </c>
      <c r="R64">
        <v>-1.1429221979132285E-3</v>
      </c>
      <c r="S64">
        <v>-2.3063441667075502E-3</v>
      </c>
      <c r="T64">
        <v>1.3206552575382134E-5</v>
      </c>
      <c r="U64">
        <v>0</v>
      </c>
      <c r="V64">
        <v>0</v>
      </c>
      <c r="W64">
        <f>tFunnel[[#This Row],[reach_rate]] -tFunnel[[#This Row],[reach_rate_lower]]</f>
        <v>7.3479234142703742E-4</v>
      </c>
      <c r="X64">
        <f>tFunnel[[#This Row],[reach_rate_upper]]-tFunnel[[#This Row],[reach_rate]]</f>
        <v>7.5226740827748564E-4</v>
      </c>
      <c r="Y64">
        <f>tFunnel[[#This Row],[step_conversion]]-tFunnel[[#This Row],[step_conversion_lower]]</f>
        <v>1.0159910998470467E-2</v>
      </c>
      <c r="Z64" s="1">
        <f>tFunnel[[#This Row],[step_conversion_upper]]-tFunnel[[#This Row],[step_conversion]]</f>
        <v>1.0257618335958674E-2</v>
      </c>
      <c r="AA64" s="1">
        <f>tFunnel[[#This Row],[gap_vs_rest]]-tFunnel[[#This Row],[gap_vs_rest_lower]]</f>
        <v>1.1634219687943217E-3</v>
      </c>
      <c r="AB64" s="1">
        <f>tFunnel[[#This Row],[gap_vs_rest_upper]]-tFunnel[[#This Row],[gap_vs_rest]]</f>
        <v>1.1561287504886107E-3</v>
      </c>
    </row>
    <row r="65" spans="1:28" x14ac:dyDescent="0.3">
      <c r="A65" s="1" t="s">
        <v>46</v>
      </c>
      <c r="B65">
        <v>1</v>
      </c>
      <c r="C65" s="1" t="s">
        <v>47</v>
      </c>
      <c r="D65">
        <v>0</v>
      </c>
      <c r="E65" s="1" t="s">
        <v>27</v>
      </c>
      <c r="F65">
        <v>4</v>
      </c>
      <c r="G65">
        <v>355592</v>
      </c>
      <c r="H65">
        <v>11063</v>
      </c>
      <c r="I65">
        <v>15106</v>
      </c>
      <c r="J65">
        <v>5952</v>
      </c>
      <c r="K65">
        <v>3.1111498571396431E-2</v>
      </c>
      <c r="L65">
        <v>3.0545894980984305E-2</v>
      </c>
      <c r="M65">
        <v>3.1687232853386725E-2</v>
      </c>
      <c r="N65">
        <v>0.39401562293128556</v>
      </c>
      <c r="O65">
        <v>0.3862512993976131</v>
      </c>
      <c r="P65">
        <v>0.40183383645813597</v>
      </c>
      <c r="Q65">
        <v>0.46199041851215766</v>
      </c>
      <c r="U65">
        <v>0</v>
      </c>
      <c r="V65">
        <v>0</v>
      </c>
      <c r="W65">
        <f>tFunnel[[#This Row],[reach_rate]] -tFunnel[[#This Row],[reach_rate_lower]]</f>
        <v>5.6560359041212677E-4</v>
      </c>
      <c r="X65">
        <f>tFunnel[[#This Row],[reach_rate_upper]]-tFunnel[[#This Row],[reach_rate]]</f>
        <v>5.7573428199029358E-4</v>
      </c>
      <c r="Y65">
        <f>tFunnel[[#This Row],[step_conversion]]-tFunnel[[#This Row],[step_conversion_lower]]</f>
        <v>7.764323533672457E-3</v>
      </c>
      <c r="Z65" s="1">
        <f>tFunnel[[#This Row],[step_conversion_upper]]-tFunnel[[#This Row],[step_conversion]]</f>
        <v>7.8182135268504149E-3</v>
      </c>
      <c r="AA65" s="1">
        <f>tFunnel[[#This Row],[gap_vs_rest]]-tFunnel[[#This Row],[gap_vs_rest_lower]]</f>
        <v>0</v>
      </c>
      <c r="AB65" s="1">
        <f>tFunnel[[#This Row],[gap_vs_rest_upper]]-tFunnel[[#This Row],[gap_vs_rest]]</f>
        <v>0</v>
      </c>
    </row>
    <row r="66" spans="1:28" hidden="1" x14ac:dyDescent="0.3">
      <c r="A66" s="1" t="s">
        <v>22</v>
      </c>
      <c r="B66">
        <v>4</v>
      </c>
      <c r="C66" s="1" t="s">
        <v>23</v>
      </c>
      <c r="D66">
        <v>6</v>
      </c>
      <c r="E66" s="1" t="s">
        <v>30</v>
      </c>
      <c r="F66">
        <v>3</v>
      </c>
      <c r="G66">
        <v>15548</v>
      </c>
      <c r="H66">
        <v>566</v>
      </c>
      <c r="I66">
        <v>3166</v>
      </c>
      <c r="J66">
        <v>565</v>
      </c>
      <c r="K66">
        <v>3.640339593516851E-2</v>
      </c>
      <c r="L66">
        <v>3.3572102839928189E-2</v>
      </c>
      <c r="M66">
        <v>3.9463714936663369E-2</v>
      </c>
      <c r="N66">
        <v>0.17845862286797221</v>
      </c>
      <c r="O66">
        <v>0.165513129158565</v>
      </c>
      <c r="P66">
        <v>0.19218345396375072</v>
      </c>
      <c r="Q66">
        <v>1.7667844522968198E-3</v>
      </c>
      <c r="R66">
        <v>-6.3557764072342399E-3</v>
      </c>
      <c r="S66">
        <v>-9.2687966762603907E-3</v>
      </c>
      <c r="T66">
        <v>-3.2219338992503007E-3</v>
      </c>
      <c r="U66">
        <v>0</v>
      </c>
      <c r="V66">
        <v>0</v>
      </c>
      <c r="W66">
        <f>tFunnel[[#This Row],[reach_rate]] -tFunnel[[#This Row],[reach_rate_lower]]</f>
        <v>2.8312930952403212E-3</v>
      </c>
      <c r="X66">
        <f>tFunnel[[#This Row],[reach_rate_upper]]-tFunnel[[#This Row],[reach_rate]]</f>
        <v>3.0603190014948586E-3</v>
      </c>
      <c r="Y66">
        <f>tFunnel[[#This Row],[step_conversion]]-tFunnel[[#This Row],[step_conversion_lower]]</f>
        <v>1.2945493709407202E-2</v>
      </c>
      <c r="Z66" s="1">
        <f>tFunnel[[#This Row],[step_conversion_upper]]-tFunnel[[#This Row],[step_conversion]]</f>
        <v>1.3724831095778517E-2</v>
      </c>
      <c r="AA66" s="1">
        <f>tFunnel[[#This Row],[gap_vs_rest]]-tFunnel[[#This Row],[gap_vs_rest_lower]]</f>
        <v>2.9130202690261509E-3</v>
      </c>
      <c r="AB66" s="1">
        <f>tFunnel[[#This Row],[gap_vs_rest_upper]]-tFunnel[[#This Row],[gap_vs_rest]]</f>
        <v>3.1338425079839392E-3</v>
      </c>
    </row>
    <row r="67" spans="1:28" hidden="1" x14ac:dyDescent="0.3">
      <c r="A67" s="1" t="s">
        <v>22</v>
      </c>
      <c r="B67">
        <v>4</v>
      </c>
      <c r="C67" s="1" t="s">
        <v>31</v>
      </c>
      <c r="D67">
        <v>99</v>
      </c>
      <c r="E67" s="1" t="s">
        <v>30</v>
      </c>
      <c r="F67">
        <v>3</v>
      </c>
      <c r="G67">
        <v>21651</v>
      </c>
      <c r="H67">
        <v>1438</v>
      </c>
      <c r="I67">
        <v>5623</v>
      </c>
      <c r="J67">
        <v>1438</v>
      </c>
      <c r="K67">
        <v>6.641725555401598E-2</v>
      </c>
      <c r="L67">
        <v>6.3176722199693586E-2</v>
      </c>
      <c r="M67">
        <v>6.9811619661391128E-2</v>
      </c>
      <c r="N67">
        <v>0.25573537257691625</v>
      </c>
      <c r="O67">
        <v>0.24450170054953421</v>
      </c>
      <c r="P67">
        <v>0.26730256476094655</v>
      </c>
      <c r="Q67">
        <v>0</v>
      </c>
      <c r="R67">
        <v>2.5487869824201433E-2</v>
      </c>
      <c r="S67">
        <v>2.2177316842631304E-2</v>
      </c>
      <c r="T67">
        <v>2.8947091927407041E-2</v>
      </c>
      <c r="U67">
        <v>0</v>
      </c>
      <c r="V67">
        <v>0</v>
      </c>
      <c r="W67">
        <f>tFunnel[[#This Row],[reach_rate]] -tFunnel[[#This Row],[reach_rate_lower]]</f>
        <v>3.2405333543223946E-3</v>
      </c>
      <c r="X67">
        <f>tFunnel[[#This Row],[reach_rate_upper]]-tFunnel[[#This Row],[reach_rate]]</f>
        <v>3.3943641073751474E-3</v>
      </c>
      <c r="Y67">
        <f>tFunnel[[#This Row],[step_conversion]]-tFunnel[[#This Row],[step_conversion_lower]]</f>
        <v>1.1233672027382041E-2</v>
      </c>
      <c r="Z67" s="1">
        <f>tFunnel[[#This Row],[step_conversion_upper]]-tFunnel[[#This Row],[step_conversion]]</f>
        <v>1.1567192184030295E-2</v>
      </c>
      <c r="AA67" s="1">
        <f>tFunnel[[#This Row],[gap_vs_rest]]-tFunnel[[#This Row],[gap_vs_rest_lower]]</f>
        <v>3.3105529815701286E-3</v>
      </c>
      <c r="AB67" s="1">
        <f>tFunnel[[#This Row],[gap_vs_rest_upper]]-tFunnel[[#This Row],[gap_vs_rest]]</f>
        <v>3.4592221032056086E-3</v>
      </c>
    </row>
    <row r="68" spans="1:28" hidden="1" x14ac:dyDescent="0.3">
      <c r="A68" s="1" t="s">
        <v>22</v>
      </c>
      <c r="B68">
        <v>4</v>
      </c>
      <c r="C68" s="1" t="s">
        <v>32</v>
      </c>
      <c r="D68">
        <v>4</v>
      </c>
      <c r="E68" s="1" t="s">
        <v>30</v>
      </c>
      <c r="F68">
        <v>3</v>
      </c>
      <c r="G68">
        <v>51789</v>
      </c>
      <c r="H68">
        <v>1981</v>
      </c>
      <c r="I68">
        <v>10573</v>
      </c>
      <c r="J68">
        <v>1979</v>
      </c>
      <c r="K68">
        <v>3.825136612021858E-2</v>
      </c>
      <c r="L68">
        <v>3.6633420738472547E-2</v>
      </c>
      <c r="M68">
        <v>3.9937807005998777E-2</v>
      </c>
      <c r="N68">
        <v>0.18717487940981745</v>
      </c>
      <c r="O68">
        <v>0.17985414334374852</v>
      </c>
      <c r="P68">
        <v>0.19472284868959308</v>
      </c>
      <c r="Q68">
        <v>1.0095911155981827E-3</v>
      </c>
      <c r="R68">
        <v>-4.9509722372038309E-3</v>
      </c>
      <c r="S68">
        <v>-6.7254676224086686E-3</v>
      </c>
      <c r="T68">
        <v>-3.1183604663408593E-3</v>
      </c>
      <c r="U68">
        <v>0</v>
      </c>
      <c r="V68">
        <v>0</v>
      </c>
      <c r="W68">
        <f>tFunnel[[#This Row],[reach_rate]] -tFunnel[[#This Row],[reach_rate_lower]]</f>
        <v>1.6179453817460332E-3</v>
      </c>
      <c r="X68">
        <f>tFunnel[[#This Row],[reach_rate_upper]]-tFunnel[[#This Row],[reach_rate]]</f>
        <v>1.6864408857801966E-3</v>
      </c>
      <c r="Y68">
        <f>tFunnel[[#This Row],[step_conversion]]-tFunnel[[#This Row],[step_conversion_lower]]</f>
        <v>7.3207360660689225E-3</v>
      </c>
      <c r="Z68" s="1">
        <f>tFunnel[[#This Row],[step_conversion_upper]]-tFunnel[[#This Row],[step_conversion]]</f>
        <v>7.5479692797756348E-3</v>
      </c>
      <c r="AA68" s="1">
        <f>tFunnel[[#This Row],[gap_vs_rest]]-tFunnel[[#This Row],[gap_vs_rest_lower]]</f>
        <v>1.7744953852048377E-3</v>
      </c>
      <c r="AB68" s="1">
        <f>tFunnel[[#This Row],[gap_vs_rest_upper]]-tFunnel[[#This Row],[gap_vs_rest]]</f>
        <v>1.8326117708629716E-3</v>
      </c>
    </row>
    <row r="69" spans="1:28" hidden="1" x14ac:dyDescent="0.3">
      <c r="A69" s="1" t="s">
        <v>22</v>
      </c>
      <c r="B69">
        <v>4</v>
      </c>
      <c r="C69" s="1" t="s">
        <v>33</v>
      </c>
      <c r="D69">
        <v>3</v>
      </c>
      <c r="E69" s="1" t="s">
        <v>30</v>
      </c>
      <c r="F69">
        <v>3</v>
      </c>
      <c r="G69">
        <v>62331</v>
      </c>
      <c r="H69">
        <v>2896</v>
      </c>
      <c r="I69">
        <v>13948</v>
      </c>
      <c r="J69">
        <v>2890</v>
      </c>
      <c r="K69">
        <v>4.6461632253613772E-2</v>
      </c>
      <c r="L69">
        <v>4.4837007373036544E-2</v>
      </c>
      <c r="M69">
        <v>4.8142156818862122E-2</v>
      </c>
      <c r="N69">
        <v>0.20719816461141383</v>
      </c>
      <c r="O69">
        <v>0.20055306345393525</v>
      </c>
      <c r="P69">
        <v>0.21400450415657446</v>
      </c>
      <c r="Q69">
        <v>2.0718232044198894E-3</v>
      </c>
      <c r="R69">
        <v>4.8263653753040092E-3</v>
      </c>
      <c r="S69">
        <v>3.0456827002127316E-3</v>
      </c>
      <c r="T69">
        <v>6.6534461427138376E-3</v>
      </c>
      <c r="U69">
        <v>0</v>
      </c>
      <c r="V69">
        <v>0</v>
      </c>
      <c r="W69">
        <f>tFunnel[[#This Row],[reach_rate]] -tFunnel[[#This Row],[reach_rate_lower]]</f>
        <v>1.6246248805772273E-3</v>
      </c>
      <c r="X69">
        <f>tFunnel[[#This Row],[reach_rate_upper]]-tFunnel[[#This Row],[reach_rate]]</f>
        <v>1.6805245652483508E-3</v>
      </c>
      <c r="Y69">
        <f>tFunnel[[#This Row],[step_conversion]]-tFunnel[[#This Row],[step_conversion_lower]]</f>
        <v>6.6451011574785723E-3</v>
      </c>
      <c r="Z69" s="1">
        <f>tFunnel[[#This Row],[step_conversion_upper]]-tFunnel[[#This Row],[step_conversion]]</f>
        <v>6.8063395451606334E-3</v>
      </c>
      <c r="AA69" s="1">
        <f>tFunnel[[#This Row],[gap_vs_rest]]-tFunnel[[#This Row],[gap_vs_rest_lower]]</f>
        <v>1.7806826750912776E-3</v>
      </c>
      <c r="AB69" s="1">
        <f>tFunnel[[#This Row],[gap_vs_rest_upper]]-tFunnel[[#This Row],[gap_vs_rest]]</f>
        <v>1.8270807674098284E-3</v>
      </c>
    </row>
    <row r="70" spans="1:28" hidden="1" x14ac:dyDescent="0.3">
      <c r="A70" s="1" t="s">
        <v>22</v>
      </c>
      <c r="B70">
        <v>4</v>
      </c>
      <c r="C70" s="1" t="s">
        <v>34</v>
      </c>
      <c r="D70">
        <v>2</v>
      </c>
      <c r="E70" s="1" t="s">
        <v>30</v>
      </c>
      <c r="F70">
        <v>3</v>
      </c>
      <c r="G70">
        <v>82493</v>
      </c>
      <c r="H70">
        <v>3501</v>
      </c>
      <c r="I70">
        <v>17565</v>
      </c>
      <c r="J70">
        <v>3496</v>
      </c>
      <c r="K70">
        <v>4.2439964603057226E-2</v>
      </c>
      <c r="L70">
        <v>4.108548121905653E-2</v>
      </c>
      <c r="M70">
        <v>4.3837060480593874E-2</v>
      </c>
      <c r="N70">
        <v>0.19903216623968117</v>
      </c>
      <c r="O70">
        <v>0.19319361540974914</v>
      </c>
      <c r="P70">
        <v>0.20500233138928126</v>
      </c>
      <c r="Q70">
        <v>1.4281633818908884E-3</v>
      </c>
      <c r="R70">
        <v>-5.378308550992722E-5</v>
      </c>
      <c r="S70">
        <v>-1.6083769759828817E-3</v>
      </c>
      <c r="T70">
        <v>1.5319468900293791E-3</v>
      </c>
      <c r="U70">
        <v>0</v>
      </c>
      <c r="V70">
        <v>0</v>
      </c>
      <c r="W70">
        <f>tFunnel[[#This Row],[reach_rate]] -tFunnel[[#This Row],[reach_rate_lower]]</f>
        <v>1.3544833840006959E-3</v>
      </c>
      <c r="X70">
        <f>tFunnel[[#This Row],[reach_rate_upper]]-tFunnel[[#This Row],[reach_rate]]</f>
        <v>1.3970958775366485E-3</v>
      </c>
      <c r="Y70">
        <f>tFunnel[[#This Row],[step_conversion]]-tFunnel[[#This Row],[step_conversion_lower]]</f>
        <v>5.8385508299320377E-3</v>
      </c>
      <c r="Z70" s="1">
        <f>tFunnel[[#This Row],[step_conversion_upper]]-tFunnel[[#This Row],[step_conversion]]</f>
        <v>5.9701651496000818E-3</v>
      </c>
      <c r="AA70" s="1">
        <f>tFunnel[[#This Row],[gap_vs_rest]]-tFunnel[[#This Row],[gap_vs_rest_lower]]</f>
        <v>1.5545938904729544E-3</v>
      </c>
      <c r="AB70" s="1">
        <f>tFunnel[[#This Row],[gap_vs_rest_upper]]-tFunnel[[#This Row],[gap_vs_rest]]</f>
        <v>1.5857299755393064E-3</v>
      </c>
    </row>
    <row r="71" spans="1:28" hidden="1" x14ac:dyDescent="0.3">
      <c r="A71" s="1" t="s">
        <v>22</v>
      </c>
      <c r="B71">
        <v>4</v>
      </c>
      <c r="C71" s="1" t="s">
        <v>35</v>
      </c>
      <c r="D71">
        <v>1</v>
      </c>
      <c r="E71" s="1" t="s">
        <v>30</v>
      </c>
      <c r="F71">
        <v>3</v>
      </c>
      <c r="G71">
        <v>121780</v>
      </c>
      <c r="H71">
        <v>4724</v>
      </c>
      <c r="I71">
        <v>25658</v>
      </c>
      <c r="J71">
        <v>4722</v>
      </c>
      <c r="K71">
        <v>3.8791262933158155E-2</v>
      </c>
      <c r="L71">
        <v>3.7721214588863475E-2</v>
      </c>
      <c r="M71">
        <v>3.9890407327929055E-2</v>
      </c>
      <c r="N71">
        <v>0.18403616805674644</v>
      </c>
      <c r="O71">
        <v>0.17934199819916202</v>
      </c>
      <c r="P71">
        <v>0.18882493456050928</v>
      </c>
      <c r="Q71">
        <v>4.2337002540220151E-4</v>
      </c>
      <c r="R71">
        <v>-5.6119327967445037E-3</v>
      </c>
      <c r="S71">
        <v>-6.9738216418811947E-3</v>
      </c>
      <c r="T71">
        <v>-4.2361216173797366E-3</v>
      </c>
      <c r="U71">
        <v>0</v>
      </c>
      <c r="V71">
        <v>0</v>
      </c>
      <c r="W71">
        <f>tFunnel[[#This Row],[reach_rate]] -tFunnel[[#This Row],[reach_rate_lower]]</f>
        <v>1.0700483442946801E-3</v>
      </c>
      <c r="X71">
        <f>tFunnel[[#This Row],[reach_rate_upper]]-tFunnel[[#This Row],[reach_rate]]</f>
        <v>1.0991443947708998E-3</v>
      </c>
      <c r="Y71">
        <f>tFunnel[[#This Row],[step_conversion]]-tFunnel[[#This Row],[step_conversion_lower]]</f>
        <v>4.6941698575844182E-3</v>
      </c>
      <c r="Z71" s="1">
        <f>tFunnel[[#This Row],[step_conversion_upper]]-tFunnel[[#This Row],[step_conversion]]</f>
        <v>4.7887665037628369E-3</v>
      </c>
      <c r="AA71" s="1">
        <f>tFunnel[[#This Row],[gap_vs_rest]]-tFunnel[[#This Row],[gap_vs_rest_lower]]</f>
        <v>1.361888845136691E-3</v>
      </c>
      <c r="AB71" s="1">
        <f>tFunnel[[#This Row],[gap_vs_rest_upper]]-tFunnel[[#This Row],[gap_vs_rest]]</f>
        <v>1.3758111793647672E-3</v>
      </c>
    </row>
    <row r="72" spans="1:28" hidden="1" x14ac:dyDescent="0.3">
      <c r="A72" s="1" t="s">
        <v>36</v>
      </c>
      <c r="B72">
        <v>3</v>
      </c>
      <c r="C72" s="1" t="s">
        <v>31</v>
      </c>
      <c r="D72">
        <v>99</v>
      </c>
      <c r="E72" s="1" t="s">
        <v>30</v>
      </c>
      <c r="F72">
        <v>3</v>
      </c>
      <c r="G72">
        <v>803</v>
      </c>
      <c r="H72">
        <v>39</v>
      </c>
      <c r="I72">
        <v>201</v>
      </c>
      <c r="J72">
        <v>39</v>
      </c>
      <c r="K72">
        <v>4.8567870485678705E-2</v>
      </c>
      <c r="L72">
        <v>3.5729668164159255E-2</v>
      </c>
      <c r="M72">
        <v>6.5704706557698792E-2</v>
      </c>
      <c r="N72">
        <v>0.19402985074626866</v>
      </c>
      <c r="O72">
        <v>0.14531037625844451</v>
      </c>
      <c r="P72">
        <v>0.25422524181544592</v>
      </c>
      <c r="Q72">
        <v>0</v>
      </c>
      <c r="R72">
        <v>6.1003757211848808E-3</v>
      </c>
      <c r="S72">
        <v>-6.7552201358591357E-3</v>
      </c>
      <c r="T72">
        <v>2.324986282434207E-2</v>
      </c>
      <c r="U72">
        <v>0</v>
      </c>
      <c r="V72">
        <v>0</v>
      </c>
      <c r="W72">
        <f>tFunnel[[#This Row],[reach_rate]] -tFunnel[[#This Row],[reach_rate_lower]]</f>
        <v>1.283820232151945E-2</v>
      </c>
      <c r="X72">
        <f>tFunnel[[#This Row],[reach_rate_upper]]-tFunnel[[#This Row],[reach_rate]]</f>
        <v>1.7136836072020087E-2</v>
      </c>
      <c r="Y72">
        <f>tFunnel[[#This Row],[step_conversion]]-tFunnel[[#This Row],[step_conversion_lower]]</f>
        <v>4.8719474487824155E-2</v>
      </c>
      <c r="Z72" s="1">
        <f>tFunnel[[#This Row],[step_conversion_upper]]-tFunnel[[#This Row],[step_conversion]]</f>
        <v>6.0195391069177262E-2</v>
      </c>
      <c r="AA72" s="1">
        <f>tFunnel[[#This Row],[gap_vs_rest]]-tFunnel[[#This Row],[gap_vs_rest_lower]]</f>
        <v>1.2855595857044017E-2</v>
      </c>
      <c r="AB72" s="1">
        <f>tFunnel[[#This Row],[gap_vs_rest_upper]]-tFunnel[[#This Row],[gap_vs_rest]]</f>
        <v>1.7149487103157189E-2</v>
      </c>
    </row>
    <row r="73" spans="1:28" hidden="1" x14ac:dyDescent="0.3">
      <c r="A73" s="1" t="s">
        <v>36</v>
      </c>
      <c r="B73">
        <v>3</v>
      </c>
      <c r="C73" s="1" t="s">
        <v>37</v>
      </c>
      <c r="D73">
        <v>5</v>
      </c>
      <c r="E73" s="1" t="s">
        <v>30</v>
      </c>
      <c r="F73">
        <v>3</v>
      </c>
      <c r="G73">
        <v>3664</v>
      </c>
      <c r="H73">
        <v>144</v>
      </c>
      <c r="I73">
        <v>770</v>
      </c>
      <c r="J73">
        <v>144</v>
      </c>
      <c r="K73">
        <v>3.9301310043668124E-2</v>
      </c>
      <c r="L73">
        <v>3.3476935181047433E-2</v>
      </c>
      <c r="M73">
        <v>4.609069666809705E-2</v>
      </c>
      <c r="N73">
        <v>0.18701298701298702</v>
      </c>
      <c r="O73">
        <v>0.16105019759073516</v>
      </c>
      <c r="P73">
        <v>0.21608320038356912</v>
      </c>
      <c r="Q73">
        <v>0</v>
      </c>
      <c r="R73">
        <v>-3.2130678972743451E-3</v>
      </c>
      <c r="S73">
        <v>-9.0760347212296855E-3</v>
      </c>
      <c r="T73">
        <v>3.6084783502337908E-3</v>
      </c>
      <c r="U73">
        <v>0</v>
      </c>
      <c r="V73">
        <v>0</v>
      </c>
      <c r="W73">
        <f>tFunnel[[#This Row],[reach_rate]] -tFunnel[[#This Row],[reach_rate_lower]]</f>
        <v>5.8243748626206904E-3</v>
      </c>
      <c r="X73">
        <f>tFunnel[[#This Row],[reach_rate_upper]]-tFunnel[[#This Row],[reach_rate]]</f>
        <v>6.7893866244289267E-3</v>
      </c>
      <c r="Y73">
        <f>tFunnel[[#This Row],[step_conversion]]-tFunnel[[#This Row],[step_conversion_lower]]</f>
        <v>2.5962789422251858E-2</v>
      </c>
      <c r="Z73" s="1">
        <f>tFunnel[[#This Row],[step_conversion_upper]]-tFunnel[[#This Row],[step_conversion]]</f>
        <v>2.9070213370582104E-2</v>
      </c>
      <c r="AA73" s="1">
        <f>tFunnel[[#This Row],[gap_vs_rest]]-tFunnel[[#This Row],[gap_vs_rest_lower]]</f>
        <v>5.8629668239553404E-3</v>
      </c>
      <c r="AB73" s="1">
        <f>tFunnel[[#This Row],[gap_vs_rest_upper]]-tFunnel[[#This Row],[gap_vs_rest]]</f>
        <v>6.8215462475081359E-3</v>
      </c>
    </row>
    <row r="74" spans="1:28" hidden="1" x14ac:dyDescent="0.3">
      <c r="A74" s="1" t="s">
        <v>36</v>
      </c>
      <c r="B74">
        <v>3</v>
      </c>
      <c r="C74" s="1" t="s">
        <v>38</v>
      </c>
      <c r="D74">
        <v>4</v>
      </c>
      <c r="E74" s="1" t="s">
        <v>30</v>
      </c>
      <c r="F74">
        <v>3</v>
      </c>
      <c r="G74">
        <v>3745</v>
      </c>
      <c r="H74">
        <v>159</v>
      </c>
      <c r="I74">
        <v>831</v>
      </c>
      <c r="J74">
        <v>159</v>
      </c>
      <c r="K74">
        <v>4.2456608811749001E-2</v>
      </c>
      <c r="L74">
        <v>3.6454115735296867E-2</v>
      </c>
      <c r="M74">
        <v>4.9396796449540571E-2</v>
      </c>
      <c r="N74">
        <v>0.19133574007220217</v>
      </c>
      <c r="O74">
        <v>0.16603565375811566</v>
      </c>
      <c r="P74">
        <v>0.21947641617737829</v>
      </c>
      <c r="Q74">
        <v>0</v>
      </c>
      <c r="R74">
        <v>-2.4924354655717074E-5</v>
      </c>
      <c r="S74">
        <v>-6.0648527560507558E-3</v>
      </c>
      <c r="T74">
        <v>6.9467110922491583E-3</v>
      </c>
      <c r="U74">
        <v>0</v>
      </c>
      <c r="V74">
        <v>0</v>
      </c>
      <c r="W74">
        <f>tFunnel[[#This Row],[reach_rate]] -tFunnel[[#This Row],[reach_rate_lower]]</f>
        <v>6.0024930764521339E-3</v>
      </c>
      <c r="X74">
        <f>tFunnel[[#This Row],[reach_rate_upper]]-tFunnel[[#This Row],[reach_rate]]</f>
        <v>6.94018763779157E-3</v>
      </c>
      <c r="Y74">
        <f>tFunnel[[#This Row],[step_conversion]]-tFunnel[[#This Row],[step_conversion_lower]]</f>
        <v>2.5300086314086506E-2</v>
      </c>
      <c r="Z74" s="1">
        <f>tFunnel[[#This Row],[step_conversion_upper]]-tFunnel[[#This Row],[step_conversion]]</f>
        <v>2.8140676105176121E-2</v>
      </c>
      <c r="AA74" s="1">
        <f>tFunnel[[#This Row],[gap_vs_rest]]-tFunnel[[#This Row],[gap_vs_rest_lower]]</f>
        <v>6.0399284013950387E-3</v>
      </c>
      <c r="AB74" s="1">
        <f>tFunnel[[#This Row],[gap_vs_rest_upper]]-tFunnel[[#This Row],[gap_vs_rest]]</f>
        <v>6.9716354469048754E-3</v>
      </c>
    </row>
    <row r="75" spans="1:28" hidden="1" x14ac:dyDescent="0.3">
      <c r="A75" s="1" t="s">
        <v>36</v>
      </c>
      <c r="B75">
        <v>3</v>
      </c>
      <c r="C75" s="1" t="s">
        <v>39</v>
      </c>
      <c r="D75">
        <v>3</v>
      </c>
      <c r="E75" s="1" t="s">
        <v>30</v>
      </c>
      <c r="F75">
        <v>3</v>
      </c>
      <c r="G75">
        <v>66291</v>
      </c>
      <c r="H75">
        <v>2782</v>
      </c>
      <c r="I75">
        <v>14143</v>
      </c>
      <c r="J75">
        <v>2777</v>
      </c>
      <c r="K75">
        <v>4.1966481121117498E-2</v>
      </c>
      <c r="L75">
        <v>4.0466456192290313E-2</v>
      </c>
      <c r="M75">
        <v>4.3519587613768014E-2</v>
      </c>
      <c r="N75">
        <v>0.1963515520045252</v>
      </c>
      <c r="O75">
        <v>0.1898875978950729</v>
      </c>
      <c r="P75">
        <v>0.20298041260999417</v>
      </c>
      <c r="Q75">
        <v>1.7972681524083393E-3</v>
      </c>
      <c r="R75">
        <v>-6.3274943805789047E-4</v>
      </c>
      <c r="S75">
        <v>-2.3062591087866673E-3</v>
      </c>
      <c r="T75">
        <v>1.0832986807221645E-3</v>
      </c>
      <c r="U75">
        <v>0</v>
      </c>
      <c r="V75">
        <v>0</v>
      </c>
      <c r="W75">
        <f>tFunnel[[#This Row],[reach_rate]] -tFunnel[[#This Row],[reach_rate_lower]]</f>
        <v>1.5000249288271844E-3</v>
      </c>
      <c r="X75">
        <f>tFunnel[[#This Row],[reach_rate_upper]]-tFunnel[[#This Row],[reach_rate]]</f>
        <v>1.5531064926505161E-3</v>
      </c>
      <c r="Y75">
        <f>tFunnel[[#This Row],[step_conversion]]-tFunnel[[#This Row],[step_conversion_lower]]</f>
        <v>6.4639541094523023E-3</v>
      </c>
      <c r="Z75" s="1">
        <f>tFunnel[[#This Row],[step_conversion_upper]]-tFunnel[[#This Row],[step_conversion]]</f>
        <v>6.6288606054689669E-3</v>
      </c>
      <c r="AA75" s="1">
        <f>tFunnel[[#This Row],[gap_vs_rest]]-tFunnel[[#This Row],[gap_vs_rest_lower]]</f>
        <v>1.6735096707287769E-3</v>
      </c>
      <c r="AB75" s="1">
        <f>tFunnel[[#This Row],[gap_vs_rest_upper]]-tFunnel[[#This Row],[gap_vs_rest]]</f>
        <v>1.716048118780055E-3</v>
      </c>
    </row>
    <row r="76" spans="1:28" hidden="1" x14ac:dyDescent="0.3">
      <c r="A76" s="1" t="s">
        <v>36</v>
      </c>
      <c r="B76">
        <v>3</v>
      </c>
      <c r="C76" s="1" t="s">
        <v>40</v>
      </c>
      <c r="D76">
        <v>2</v>
      </c>
      <c r="E76" s="1" t="s">
        <v>30</v>
      </c>
      <c r="F76">
        <v>3</v>
      </c>
      <c r="G76">
        <v>84481</v>
      </c>
      <c r="H76">
        <v>3463</v>
      </c>
      <c r="I76">
        <v>18111</v>
      </c>
      <c r="J76">
        <v>3459</v>
      </c>
      <c r="K76">
        <v>4.0991465536629537E-2</v>
      </c>
      <c r="L76">
        <v>3.9675218808210629E-2</v>
      </c>
      <c r="M76">
        <v>4.2349453774669747E-2</v>
      </c>
      <c r="N76">
        <v>0.19098890177240352</v>
      </c>
      <c r="O76">
        <v>0.18532989119791055</v>
      </c>
      <c r="P76">
        <v>0.19677897100732142</v>
      </c>
      <c r="Q76">
        <v>1.155067860236789E-3</v>
      </c>
      <c r="R76">
        <v>-1.9540438672677601E-3</v>
      </c>
      <c r="S76">
        <v>-3.4787869911720145E-3</v>
      </c>
      <c r="T76">
        <v>-3.994702352541255E-4</v>
      </c>
      <c r="U76">
        <v>0</v>
      </c>
      <c r="V76">
        <v>0</v>
      </c>
      <c r="W76">
        <f>tFunnel[[#This Row],[reach_rate]] -tFunnel[[#This Row],[reach_rate_lower]]</f>
        <v>1.3162467284189086E-3</v>
      </c>
      <c r="X76">
        <f>tFunnel[[#This Row],[reach_rate_upper]]-tFunnel[[#This Row],[reach_rate]]</f>
        <v>1.35798823804021E-3</v>
      </c>
      <c r="Y76">
        <f>tFunnel[[#This Row],[step_conversion]]-tFunnel[[#This Row],[step_conversion_lower]]</f>
        <v>5.6590105744929731E-3</v>
      </c>
      <c r="Z76" s="1">
        <f>tFunnel[[#This Row],[step_conversion_upper]]-tFunnel[[#This Row],[step_conversion]]</f>
        <v>5.7900692349178995E-3</v>
      </c>
      <c r="AA76" s="1">
        <f>tFunnel[[#This Row],[gap_vs_rest]]-tFunnel[[#This Row],[gap_vs_rest_lower]]</f>
        <v>1.5247431239042543E-3</v>
      </c>
      <c r="AB76" s="1">
        <f>tFunnel[[#This Row],[gap_vs_rest_upper]]-tFunnel[[#This Row],[gap_vs_rest]]</f>
        <v>1.5545736320136346E-3</v>
      </c>
    </row>
    <row r="77" spans="1:28" hidden="1" x14ac:dyDescent="0.3">
      <c r="A77" s="1" t="s">
        <v>36</v>
      </c>
      <c r="B77">
        <v>3</v>
      </c>
      <c r="C77" s="1" t="s">
        <v>41</v>
      </c>
      <c r="D77">
        <v>1</v>
      </c>
      <c r="E77" s="1" t="s">
        <v>30</v>
      </c>
      <c r="F77">
        <v>3</v>
      </c>
      <c r="G77">
        <v>196608</v>
      </c>
      <c r="H77">
        <v>8519</v>
      </c>
      <c r="I77">
        <v>42477</v>
      </c>
      <c r="J77">
        <v>8512</v>
      </c>
      <c r="K77">
        <v>4.3329874674479164E-2</v>
      </c>
      <c r="L77">
        <v>4.2438803617996478E-2</v>
      </c>
      <c r="M77">
        <v>4.42387908362794E-2</v>
      </c>
      <c r="N77">
        <v>0.20039079972691104</v>
      </c>
      <c r="O77">
        <v>0.19661126583122351</v>
      </c>
      <c r="P77">
        <v>0.20422451976316366</v>
      </c>
      <c r="Q77">
        <v>8.2169268693508624E-4</v>
      </c>
      <c r="R77">
        <v>1.8980324765221351E-3</v>
      </c>
      <c r="S77">
        <v>5.6553087914721191E-4</v>
      </c>
      <c r="T77">
        <v>3.2262883178200341E-3</v>
      </c>
      <c r="U77">
        <v>0</v>
      </c>
      <c r="V77">
        <v>0</v>
      </c>
      <c r="W77">
        <f>tFunnel[[#This Row],[reach_rate]] -tFunnel[[#This Row],[reach_rate_lower]]</f>
        <v>8.9107105648268681E-4</v>
      </c>
      <c r="X77">
        <f>tFunnel[[#This Row],[reach_rate_upper]]-tFunnel[[#This Row],[reach_rate]]</f>
        <v>9.089161618002356E-4</v>
      </c>
      <c r="Y77">
        <f>tFunnel[[#This Row],[step_conversion]]-tFunnel[[#This Row],[step_conversion_lower]]</f>
        <v>3.7795338956875257E-3</v>
      </c>
      <c r="Z77" s="1">
        <f>tFunnel[[#This Row],[step_conversion_upper]]-tFunnel[[#This Row],[step_conversion]]</f>
        <v>3.8337200362526247E-3</v>
      </c>
      <c r="AA77" s="1">
        <f>tFunnel[[#This Row],[gap_vs_rest]]-tFunnel[[#This Row],[gap_vs_rest_lower]]</f>
        <v>1.3325015973749232E-3</v>
      </c>
      <c r="AB77" s="1">
        <f>tFunnel[[#This Row],[gap_vs_rest_upper]]-tFunnel[[#This Row],[gap_vs_rest]]</f>
        <v>1.3282558412978989E-3</v>
      </c>
    </row>
    <row r="78" spans="1:28" hidden="1" x14ac:dyDescent="0.3">
      <c r="A78" s="1" t="s">
        <v>42</v>
      </c>
      <c r="B78">
        <v>2</v>
      </c>
      <c r="C78" s="1" t="s">
        <v>43</v>
      </c>
      <c r="D78">
        <v>3</v>
      </c>
      <c r="E78" s="1" t="s">
        <v>30</v>
      </c>
      <c r="F78">
        <v>3</v>
      </c>
      <c r="G78">
        <v>7886</v>
      </c>
      <c r="H78">
        <v>319</v>
      </c>
      <c r="I78">
        <v>1699</v>
      </c>
      <c r="J78">
        <v>319</v>
      </c>
      <c r="K78">
        <v>4.0451432919097134E-2</v>
      </c>
      <c r="L78">
        <v>3.6322179022390537E-2</v>
      </c>
      <c r="M78">
        <v>4.5028182987583612E-2</v>
      </c>
      <c r="N78">
        <v>0.1877575044143614</v>
      </c>
      <c r="O78">
        <v>0.16990029462318509</v>
      </c>
      <c r="P78">
        <v>0.20702349680421073</v>
      </c>
      <c r="Q78">
        <v>0</v>
      </c>
      <c r="R78">
        <v>-2.0758746338355172E-3</v>
      </c>
      <c r="S78">
        <v>-6.2600620945206164E-3</v>
      </c>
      <c r="T78">
        <v>2.5490327540992619E-3</v>
      </c>
      <c r="U78">
        <v>0</v>
      </c>
      <c r="V78">
        <v>0</v>
      </c>
      <c r="W78">
        <f>tFunnel[[#This Row],[reach_rate]] -tFunnel[[#This Row],[reach_rate_lower]]</f>
        <v>4.1292538967065973E-3</v>
      </c>
      <c r="X78">
        <f>tFunnel[[#This Row],[reach_rate_upper]]-tFunnel[[#This Row],[reach_rate]]</f>
        <v>4.5767500684864779E-3</v>
      </c>
      <c r="Y78">
        <f>tFunnel[[#This Row],[step_conversion]]-tFunnel[[#This Row],[step_conversion_lower]]</f>
        <v>1.7857209791176304E-2</v>
      </c>
      <c r="Z78" s="1">
        <f>tFunnel[[#This Row],[step_conversion_upper]]-tFunnel[[#This Row],[step_conversion]]</f>
        <v>1.9265992389849329E-2</v>
      </c>
      <c r="AA78" s="1">
        <f>tFunnel[[#This Row],[gap_vs_rest]]-tFunnel[[#This Row],[gap_vs_rest_lower]]</f>
        <v>4.1841874606850992E-3</v>
      </c>
      <c r="AB78" s="1">
        <f>tFunnel[[#This Row],[gap_vs_rest_upper]]-tFunnel[[#This Row],[gap_vs_rest]]</f>
        <v>4.6249073879347791E-3</v>
      </c>
    </row>
    <row r="79" spans="1:28" hidden="1" x14ac:dyDescent="0.3">
      <c r="A79" s="1" t="s">
        <v>42</v>
      </c>
      <c r="B79">
        <v>2</v>
      </c>
      <c r="C79" s="1" t="s">
        <v>44</v>
      </c>
      <c r="D79">
        <v>2</v>
      </c>
      <c r="E79" s="1" t="s">
        <v>30</v>
      </c>
      <c r="F79">
        <v>3</v>
      </c>
      <c r="G79">
        <v>141352</v>
      </c>
      <c r="H79">
        <v>6033</v>
      </c>
      <c r="I79">
        <v>30374</v>
      </c>
      <c r="J79">
        <v>6026</v>
      </c>
      <c r="K79">
        <v>4.2680683683287111E-2</v>
      </c>
      <c r="L79">
        <v>4.1639293946172495E-2</v>
      </c>
      <c r="M79">
        <v>4.374692946216302E-2</v>
      </c>
      <c r="N79">
        <v>0.19839336274445249</v>
      </c>
      <c r="O79">
        <v>0.19394684224867759</v>
      </c>
      <c r="P79">
        <v>0.20291616314951008</v>
      </c>
      <c r="Q79">
        <v>1.1602850986242334E-3</v>
      </c>
      <c r="R79">
        <v>3.3098241368292869E-4</v>
      </c>
      <c r="S79">
        <v>-1.0202423376620266E-3</v>
      </c>
      <c r="T79">
        <v>1.6912046117908274E-3</v>
      </c>
      <c r="U79">
        <v>0</v>
      </c>
      <c r="V79">
        <v>0</v>
      </c>
      <c r="W79">
        <f>tFunnel[[#This Row],[reach_rate]] -tFunnel[[#This Row],[reach_rate_lower]]</f>
        <v>1.0413897371146161E-3</v>
      </c>
      <c r="X79">
        <f>tFunnel[[#This Row],[reach_rate_upper]]-tFunnel[[#This Row],[reach_rate]]</f>
        <v>1.0662457788759086E-3</v>
      </c>
      <c r="Y79">
        <f>tFunnel[[#This Row],[step_conversion]]-tFunnel[[#This Row],[step_conversion_lower]]</f>
        <v>4.4465204957749027E-3</v>
      </c>
      <c r="Z79" s="1">
        <f>tFunnel[[#This Row],[step_conversion_upper]]-tFunnel[[#This Row],[step_conversion]]</f>
        <v>4.5228004050575921E-3</v>
      </c>
      <c r="AA79" s="1">
        <f>tFunnel[[#This Row],[gap_vs_rest]]-tFunnel[[#This Row],[gap_vs_rest_lower]]</f>
        <v>1.3512247513449553E-3</v>
      </c>
      <c r="AB79" s="1">
        <f>tFunnel[[#This Row],[gap_vs_rest_upper]]-tFunnel[[#This Row],[gap_vs_rest]]</f>
        <v>1.3602221981078987E-3</v>
      </c>
    </row>
    <row r="80" spans="1:28" hidden="1" x14ac:dyDescent="0.3">
      <c r="A80" s="1" t="s">
        <v>42</v>
      </c>
      <c r="B80">
        <v>2</v>
      </c>
      <c r="C80" s="1" t="s">
        <v>45</v>
      </c>
      <c r="D80">
        <v>1</v>
      </c>
      <c r="E80" s="1" t="s">
        <v>30</v>
      </c>
      <c r="F80">
        <v>3</v>
      </c>
      <c r="G80">
        <v>206354</v>
      </c>
      <c r="H80">
        <v>8754</v>
      </c>
      <c r="I80">
        <v>44460</v>
      </c>
      <c r="J80">
        <v>8745</v>
      </c>
      <c r="K80">
        <v>4.2422245267840698E-2</v>
      </c>
      <c r="L80">
        <v>4.1561117745100913E-2</v>
      </c>
      <c r="M80">
        <v>4.3300408887850854E-2</v>
      </c>
      <c r="N80">
        <v>0.19669365721997301</v>
      </c>
      <c r="O80">
        <v>0.1930250582822014</v>
      </c>
      <c r="P80">
        <v>0.20041466453299947</v>
      </c>
      <c r="Q80">
        <v>1.028101439342015E-3</v>
      </c>
      <c r="R80">
        <v>-1.4064086035721346E-4</v>
      </c>
      <c r="S80">
        <v>-1.4878113839765397E-3</v>
      </c>
      <c r="T80">
        <v>1.1996054078870749E-3</v>
      </c>
      <c r="U80">
        <v>0</v>
      </c>
      <c r="V80">
        <v>0</v>
      </c>
      <c r="W80">
        <f>tFunnel[[#This Row],[reach_rate]] -tFunnel[[#This Row],[reach_rate_lower]]</f>
        <v>8.6112752273978521E-4</v>
      </c>
      <c r="X80">
        <f>tFunnel[[#This Row],[reach_rate_upper]]-tFunnel[[#This Row],[reach_rate]]</f>
        <v>8.7816362001015558E-4</v>
      </c>
      <c r="Y80">
        <f>tFunnel[[#This Row],[step_conversion]]-tFunnel[[#This Row],[step_conversion_lower]]</f>
        <v>3.6685989377716055E-3</v>
      </c>
      <c r="Z80" s="1">
        <f>tFunnel[[#This Row],[step_conversion_upper]]-tFunnel[[#This Row],[step_conversion]]</f>
        <v>3.7210073130264643E-3</v>
      </c>
      <c r="AA80" s="1">
        <f>tFunnel[[#This Row],[gap_vs_rest]]-tFunnel[[#This Row],[gap_vs_rest_lower]]</f>
        <v>1.3471705236193262E-3</v>
      </c>
      <c r="AB80" s="1">
        <f>tFunnel[[#This Row],[gap_vs_rest_upper]]-tFunnel[[#This Row],[gap_vs_rest]]</f>
        <v>1.3402462682442883E-3</v>
      </c>
    </row>
    <row r="81" spans="1:28" x14ac:dyDescent="0.3">
      <c r="A81" s="1" t="s">
        <v>46</v>
      </c>
      <c r="B81">
        <v>1</v>
      </c>
      <c r="C81" s="1" t="s">
        <v>47</v>
      </c>
      <c r="D81">
        <v>0</v>
      </c>
      <c r="E81" s="1" t="s">
        <v>30</v>
      </c>
      <c r="F81">
        <v>3</v>
      </c>
      <c r="G81">
        <v>355592</v>
      </c>
      <c r="H81">
        <v>15106</v>
      </c>
      <c r="I81">
        <v>76533</v>
      </c>
      <c r="J81">
        <v>15090</v>
      </c>
      <c r="K81">
        <v>4.2481270669756349E-2</v>
      </c>
      <c r="L81">
        <v>4.1823303728467896E-2</v>
      </c>
      <c r="M81">
        <v>4.3149122650076387E-2</v>
      </c>
      <c r="N81">
        <v>0.19716984830073303</v>
      </c>
      <c r="O81">
        <v>0.19436633223582933</v>
      </c>
      <c r="P81">
        <v>0.20000376304824746</v>
      </c>
      <c r="Q81">
        <v>1.0591817820733483E-3</v>
      </c>
      <c r="U81">
        <v>0</v>
      </c>
      <c r="V81">
        <v>0</v>
      </c>
      <c r="W81">
        <f>tFunnel[[#This Row],[reach_rate]] -tFunnel[[#This Row],[reach_rate_lower]]</f>
        <v>6.5796694128845284E-4</v>
      </c>
      <c r="X81">
        <f>tFunnel[[#This Row],[reach_rate_upper]]-tFunnel[[#This Row],[reach_rate]]</f>
        <v>6.6785198032003751E-4</v>
      </c>
      <c r="Y81">
        <f>tFunnel[[#This Row],[step_conversion]]-tFunnel[[#This Row],[step_conversion_lower]]</f>
        <v>2.8035160649036994E-3</v>
      </c>
      <c r="Z81" s="1">
        <f>tFunnel[[#This Row],[step_conversion_upper]]-tFunnel[[#This Row],[step_conversion]]</f>
        <v>2.8339147475144322E-3</v>
      </c>
      <c r="AA81" s="1">
        <f>tFunnel[[#This Row],[gap_vs_rest]]-tFunnel[[#This Row],[gap_vs_rest_lower]]</f>
        <v>0</v>
      </c>
      <c r="AB81" s="1">
        <f>tFunnel[[#This Row],[gap_vs_rest_upper]]-tFunnel[[#This Row],[gap_vs_rest]]</f>
        <v>0</v>
      </c>
    </row>
    <row r="82" spans="1:28" hidden="1" x14ac:dyDescent="0.3">
      <c r="A82" s="1" t="s">
        <v>22</v>
      </c>
      <c r="B82">
        <v>4</v>
      </c>
      <c r="C82" s="1" t="s">
        <v>23</v>
      </c>
      <c r="D82">
        <v>6</v>
      </c>
      <c r="E82" s="1" t="s">
        <v>29</v>
      </c>
      <c r="F82">
        <v>2</v>
      </c>
      <c r="G82">
        <v>15548</v>
      </c>
      <c r="H82">
        <v>3166</v>
      </c>
      <c r="I82">
        <v>15548</v>
      </c>
      <c r="J82">
        <v>3166</v>
      </c>
      <c r="K82">
        <v>0.20362747620272703</v>
      </c>
      <c r="L82">
        <v>0.19737128292038561</v>
      </c>
      <c r="M82">
        <v>0.21003008338296261</v>
      </c>
      <c r="N82">
        <v>0.20362747620272703</v>
      </c>
      <c r="O82">
        <v>0.19737128292038561</v>
      </c>
      <c r="P82">
        <v>0.21003008338296261</v>
      </c>
      <c r="Q82">
        <v>0</v>
      </c>
      <c r="R82">
        <v>-1.212989637258674E-2</v>
      </c>
      <c r="S82">
        <v>-1.8537731028070832E-2</v>
      </c>
      <c r="T82">
        <v>-5.5803917083338652E-3</v>
      </c>
      <c r="U82">
        <v>0</v>
      </c>
      <c r="V82">
        <v>0</v>
      </c>
      <c r="W82">
        <f>tFunnel[[#This Row],[reach_rate]] -tFunnel[[#This Row],[reach_rate_lower]]</f>
        <v>6.2561932823414212E-3</v>
      </c>
      <c r="X82">
        <f>tFunnel[[#This Row],[reach_rate_upper]]-tFunnel[[#This Row],[reach_rate]]</f>
        <v>6.4026071802355811E-3</v>
      </c>
      <c r="Y82">
        <f>tFunnel[[#This Row],[step_conversion]]-tFunnel[[#This Row],[step_conversion_lower]]</f>
        <v>6.2561932823414212E-3</v>
      </c>
      <c r="Z82" s="1">
        <f>tFunnel[[#This Row],[step_conversion_upper]]-tFunnel[[#This Row],[step_conversion]]</f>
        <v>6.4026071802355811E-3</v>
      </c>
      <c r="AA82" s="1">
        <f>tFunnel[[#This Row],[gap_vs_rest]]-tFunnel[[#This Row],[gap_vs_rest_lower]]</f>
        <v>6.4078346554840918E-3</v>
      </c>
      <c r="AB82" s="1">
        <f>tFunnel[[#This Row],[gap_vs_rest_upper]]-tFunnel[[#This Row],[gap_vs_rest]]</f>
        <v>6.5495046642528752E-3</v>
      </c>
    </row>
    <row r="83" spans="1:28" hidden="1" x14ac:dyDescent="0.3">
      <c r="A83" s="1" t="s">
        <v>22</v>
      </c>
      <c r="B83">
        <v>4</v>
      </c>
      <c r="C83" s="1" t="s">
        <v>31</v>
      </c>
      <c r="D83">
        <v>99</v>
      </c>
      <c r="E83" s="1" t="s">
        <v>29</v>
      </c>
      <c r="F83">
        <v>2</v>
      </c>
      <c r="G83">
        <v>21651</v>
      </c>
      <c r="H83">
        <v>5623</v>
      </c>
      <c r="I83">
        <v>21651</v>
      </c>
      <c r="J83">
        <v>5623</v>
      </c>
      <c r="K83">
        <v>0.25971086785829756</v>
      </c>
      <c r="L83">
        <v>0.25391329141609392</v>
      </c>
      <c r="M83">
        <v>0.26559369644353786</v>
      </c>
      <c r="N83">
        <v>0.25971086785829756</v>
      </c>
      <c r="O83">
        <v>0.25391329141609392</v>
      </c>
      <c r="P83">
        <v>0.26559369644353786</v>
      </c>
      <c r="Q83">
        <v>0</v>
      </c>
      <c r="R83">
        <v>4.7367968962983703E-2</v>
      </c>
      <c r="S83">
        <v>4.1406001529230629E-2</v>
      </c>
      <c r="T83">
        <v>5.3411351786171034E-2</v>
      </c>
      <c r="U83">
        <v>0</v>
      </c>
      <c r="V83">
        <v>0</v>
      </c>
      <c r="W83">
        <f>tFunnel[[#This Row],[reach_rate]] -tFunnel[[#This Row],[reach_rate_lower]]</f>
        <v>5.7975764422036336E-3</v>
      </c>
      <c r="X83">
        <f>tFunnel[[#This Row],[reach_rate_upper]]-tFunnel[[#This Row],[reach_rate]]</f>
        <v>5.8828285852403073E-3</v>
      </c>
      <c r="Y83">
        <f>tFunnel[[#This Row],[step_conversion]]-tFunnel[[#This Row],[step_conversion_lower]]</f>
        <v>5.7975764422036336E-3</v>
      </c>
      <c r="Z83" s="1">
        <f>tFunnel[[#This Row],[step_conversion_upper]]-tFunnel[[#This Row],[step_conversion]]</f>
        <v>5.8828285852403073E-3</v>
      </c>
      <c r="AA83" s="1">
        <f>tFunnel[[#This Row],[gap_vs_rest]]-tFunnel[[#This Row],[gap_vs_rest_lower]]</f>
        <v>5.9619674337530737E-3</v>
      </c>
      <c r="AB83" s="1">
        <f>tFunnel[[#This Row],[gap_vs_rest_upper]]-tFunnel[[#This Row],[gap_vs_rest]]</f>
        <v>6.0433828231873307E-3</v>
      </c>
    </row>
    <row r="84" spans="1:28" hidden="1" x14ac:dyDescent="0.3">
      <c r="A84" s="1" t="s">
        <v>22</v>
      </c>
      <c r="B84">
        <v>4</v>
      </c>
      <c r="C84" s="1" t="s">
        <v>32</v>
      </c>
      <c r="D84">
        <v>4</v>
      </c>
      <c r="E84" s="1" t="s">
        <v>29</v>
      </c>
      <c r="F84">
        <v>2</v>
      </c>
      <c r="G84">
        <v>51789</v>
      </c>
      <c r="H84">
        <v>10573</v>
      </c>
      <c r="I84">
        <v>51789</v>
      </c>
      <c r="J84">
        <v>10573</v>
      </c>
      <c r="K84">
        <v>0.20415532255884455</v>
      </c>
      <c r="L84">
        <v>0.20070577131540882</v>
      </c>
      <c r="M84">
        <v>0.20764875921700668</v>
      </c>
      <c r="N84">
        <v>0.20415532255884455</v>
      </c>
      <c r="O84">
        <v>0.20070577131540882</v>
      </c>
      <c r="P84">
        <v>0.20764875921700668</v>
      </c>
      <c r="Q84">
        <v>0</v>
      </c>
      <c r="R84">
        <v>-1.2959057483485498E-2</v>
      </c>
      <c r="S84">
        <v>-1.670861215904422E-2</v>
      </c>
      <c r="T84">
        <v>-9.1718579101346537E-3</v>
      </c>
      <c r="U84">
        <v>0</v>
      </c>
      <c r="V84">
        <v>0</v>
      </c>
      <c r="W84">
        <f>tFunnel[[#This Row],[reach_rate]] -tFunnel[[#This Row],[reach_rate_lower]]</f>
        <v>3.4495512434357389E-3</v>
      </c>
      <c r="X84">
        <f>tFunnel[[#This Row],[reach_rate_upper]]-tFunnel[[#This Row],[reach_rate]]</f>
        <v>3.4934366581621246E-3</v>
      </c>
      <c r="Y84">
        <f>tFunnel[[#This Row],[step_conversion]]-tFunnel[[#This Row],[step_conversion_lower]]</f>
        <v>3.4495512434357389E-3</v>
      </c>
      <c r="Z84" s="1">
        <f>tFunnel[[#This Row],[step_conversion_upper]]-tFunnel[[#This Row],[step_conversion]]</f>
        <v>3.4934366581621246E-3</v>
      </c>
      <c r="AA84" s="1">
        <f>tFunnel[[#This Row],[gap_vs_rest]]-tFunnel[[#This Row],[gap_vs_rest_lower]]</f>
        <v>3.7495546755587222E-3</v>
      </c>
      <c r="AB84" s="1">
        <f>tFunnel[[#This Row],[gap_vs_rest_upper]]-tFunnel[[#This Row],[gap_vs_rest]]</f>
        <v>3.787199573350844E-3</v>
      </c>
    </row>
    <row r="85" spans="1:28" hidden="1" x14ac:dyDescent="0.3">
      <c r="A85" s="1" t="s">
        <v>22</v>
      </c>
      <c r="B85">
        <v>4</v>
      </c>
      <c r="C85" s="1" t="s">
        <v>33</v>
      </c>
      <c r="D85">
        <v>3</v>
      </c>
      <c r="E85" s="1" t="s">
        <v>29</v>
      </c>
      <c r="F85">
        <v>2</v>
      </c>
      <c r="G85">
        <v>62331</v>
      </c>
      <c r="H85">
        <v>13948</v>
      </c>
      <c r="I85">
        <v>62331</v>
      </c>
      <c r="J85">
        <v>13948</v>
      </c>
      <c r="K85">
        <v>0.22377308241484975</v>
      </c>
      <c r="L85">
        <v>0.22051830472625758</v>
      </c>
      <c r="M85">
        <v>0.22706190572932228</v>
      </c>
      <c r="N85">
        <v>0.22377308241484975</v>
      </c>
      <c r="O85">
        <v>0.22051830472625758</v>
      </c>
      <c r="P85">
        <v>0.22706190572932228</v>
      </c>
      <c r="Q85">
        <v>0</v>
      </c>
      <c r="R85">
        <v>1.036250276054862E-2</v>
      </c>
      <c r="S85">
        <v>6.7842891228895256E-3</v>
      </c>
      <c r="T85">
        <v>1.396862630621123E-2</v>
      </c>
      <c r="U85">
        <v>0</v>
      </c>
      <c r="V85">
        <v>0</v>
      </c>
      <c r="W85">
        <f>tFunnel[[#This Row],[reach_rate]] -tFunnel[[#This Row],[reach_rate_lower]]</f>
        <v>3.2547776885921698E-3</v>
      </c>
      <c r="X85">
        <f>tFunnel[[#This Row],[reach_rate_upper]]-tFunnel[[#This Row],[reach_rate]]</f>
        <v>3.2888233144725276E-3</v>
      </c>
      <c r="Y85">
        <f>tFunnel[[#This Row],[step_conversion]]-tFunnel[[#This Row],[step_conversion_lower]]</f>
        <v>3.2547776885921698E-3</v>
      </c>
      <c r="Z85" s="1">
        <f>tFunnel[[#This Row],[step_conversion_upper]]-tFunnel[[#This Row],[step_conversion]]</f>
        <v>3.2888233144725276E-3</v>
      </c>
      <c r="AA85" s="1">
        <f>tFunnel[[#This Row],[gap_vs_rest]]-tFunnel[[#This Row],[gap_vs_rest_lower]]</f>
        <v>3.5782136376590942E-3</v>
      </c>
      <c r="AB85" s="1">
        <f>tFunnel[[#This Row],[gap_vs_rest_upper]]-tFunnel[[#This Row],[gap_vs_rest]]</f>
        <v>3.6061235456626099E-3</v>
      </c>
    </row>
    <row r="86" spans="1:28" hidden="1" x14ac:dyDescent="0.3">
      <c r="A86" s="1" t="s">
        <v>22</v>
      </c>
      <c r="B86">
        <v>4</v>
      </c>
      <c r="C86" s="1" t="s">
        <v>34</v>
      </c>
      <c r="D86">
        <v>2</v>
      </c>
      <c r="E86" s="1" t="s">
        <v>29</v>
      </c>
      <c r="F86">
        <v>2</v>
      </c>
      <c r="G86">
        <v>82493</v>
      </c>
      <c r="H86">
        <v>17565</v>
      </c>
      <c r="I86">
        <v>82493</v>
      </c>
      <c r="J86">
        <v>17565</v>
      </c>
      <c r="K86">
        <v>0.21292715745578414</v>
      </c>
      <c r="L86">
        <v>0.21014696887485126</v>
      </c>
      <c r="M86">
        <v>0.21573408108501868</v>
      </c>
      <c r="N86">
        <v>0.21292715745578414</v>
      </c>
      <c r="O86">
        <v>0.21014696887485126</v>
      </c>
      <c r="P86">
        <v>0.21573408108501868</v>
      </c>
      <c r="Q86">
        <v>0</v>
      </c>
      <c r="R86">
        <v>-2.9945412688541784E-3</v>
      </c>
      <c r="S86">
        <v>-6.1762352388517313E-3</v>
      </c>
      <c r="T86">
        <v>2.0669023870413788E-4</v>
      </c>
      <c r="U86">
        <v>0</v>
      </c>
      <c r="V86">
        <v>0</v>
      </c>
      <c r="W86">
        <f>tFunnel[[#This Row],[reach_rate]] -tFunnel[[#This Row],[reach_rate_lower]]</f>
        <v>2.7801885809328741E-3</v>
      </c>
      <c r="X86">
        <f>tFunnel[[#This Row],[reach_rate_upper]]-tFunnel[[#This Row],[reach_rate]]</f>
        <v>2.8069236292345423E-3</v>
      </c>
      <c r="Y86">
        <f>tFunnel[[#This Row],[step_conversion]]-tFunnel[[#This Row],[step_conversion_lower]]</f>
        <v>2.7801885809328741E-3</v>
      </c>
      <c r="Z86" s="1">
        <f>tFunnel[[#This Row],[step_conversion_upper]]-tFunnel[[#This Row],[step_conversion]]</f>
        <v>2.8069236292345423E-3</v>
      </c>
      <c r="AA86" s="1">
        <f>tFunnel[[#This Row],[gap_vs_rest]]-tFunnel[[#This Row],[gap_vs_rest_lower]]</f>
        <v>3.181693969997553E-3</v>
      </c>
      <c r="AB86" s="1">
        <f>tFunnel[[#This Row],[gap_vs_rest_upper]]-tFunnel[[#This Row],[gap_vs_rest]]</f>
        <v>3.2012315075583163E-3</v>
      </c>
    </row>
    <row r="87" spans="1:28" hidden="1" x14ac:dyDescent="0.3">
      <c r="A87" s="1" t="s">
        <v>22</v>
      </c>
      <c r="B87">
        <v>4</v>
      </c>
      <c r="C87" s="1" t="s">
        <v>35</v>
      </c>
      <c r="D87">
        <v>1</v>
      </c>
      <c r="E87" s="1" t="s">
        <v>29</v>
      </c>
      <c r="F87">
        <v>2</v>
      </c>
      <c r="G87">
        <v>121780</v>
      </c>
      <c r="H87">
        <v>25658</v>
      </c>
      <c r="I87">
        <v>121780</v>
      </c>
      <c r="J87">
        <v>25658</v>
      </c>
      <c r="K87">
        <v>0.2106914107406799</v>
      </c>
      <c r="L87">
        <v>0.20841017759930894</v>
      </c>
      <c r="M87">
        <v>0.21299089535180801</v>
      </c>
      <c r="N87">
        <v>0.2106914107406799</v>
      </c>
      <c r="O87">
        <v>0.20841017759930894</v>
      </c>
      <c r="P87">
        <v>0.21299089535180801</v>
      </c>
      <c r="Q87">
        <v>0</v>
      </c>
      <c r="R87">
        <v>-6.8979345452763463E-3</v>
      </c>
      <c r="S87">
        <v>-9.7292948814052278E-3</v>
      </c>
      <c r="T87">
        <v>-4.0573066470638965E-3</v>
      </c>
      <c r="U87">
        <v>0</v>
      </c>
      <c r="V87">
        <v>0</v>
      </c>
      <c r="W87">
        <f>tFunnel[[#This Row],[reach_rate]] -tFunnel[[#This Row],[reach_rate_lower]]</f>
        <v>2.2812331413709641E-3</v>
      </c>
      <c r="X87">
        <f>tFunnel[[#This Row],[reach_rate_upper]]-tFunnel[[#This Row],[reach_rate]]</f>
        <v>2.2994846111281109E-3</v>
      </c>
      <c r="Y87">
        <f>tFunnel[[#This Row],[step_conversion]]-tFunnel[[#This Row],[step_conversion_lower]]</f>
        <v>2.2812331413709641E-3</v>
      </c>
      <c r="Z87" s="1">
        <f>tFunnel[[#This Row],[step_conversion_upper]]-tFunnel[[#This Row],[step_conversion]]</f>
        <v>2.2994846111281109E-3</v>
      </c>
      <c r="AA87" s="1">
        <f>tFunnel[[#This Row],[gap_vs_rest]]-tFunnel[[#This Row],[gap_vs_rest_lower]]</f>
        <v>2.8313603361288815E-3</v>
      </c>
      <c r="AB87" s="1">
        <f>tFunnel[[#This Row],[gap_vs_rest_upper]]-tFunnel[[#This Row],[gap_vs_rest]]</f>
        <v>2.8406278982124498E-3</v>
      </c>
    </row>
    <row r="88" spans="1:28" hidden="1" x14ac:dyDescent="0.3">
      <c r="A88" s="1" t="s">
        <v>36</v>
      </c>
      <c r="B88">
        <v>3</v>
      </c>
      <c r="C88" s="1" t="s">
        <v>31</v>
      </c>
      <c r="D88">
        <v>99</v>
      </c>
      <c r="E88" s="1" t="s">
        <v>29</v>
      </c>
      <c r="F88">
        <v>2</v>
      </c>
      <c r="G88">
        <v>803</v>
      </c>
      <c r="H88">
        <v>201</v>
      </c>
      <c r="I88">
        <v>803</v>
      </c>
      <c r="J88">
        <v>201</v>
      </c>
      <c r="K88">
        <v>0.25031133250311333</v>
      </c>
      <c r="L88">
        <v>0.22158589030398904</v>
      </c>
      <c r="M88">
        <v>0.28141436385251456</v>
      </c>
      <c r="N88">
        <v>0.25031133250311333</v>
      </c>
      <c r="O88">
        <v>0.22158589030398904</v>
      </c>
      <c r="P88">
        <v>0.28141436385251456</v>
      </c>
      <c r="Q88">
        <v>0</v>
      </c>
      <c r="R88">
        <v>3.5163737735519063E-2</v>
      </c>
      <c r="S88">
        <v>6.4063442121474017E-3</v>
      </c>
      <c r="T88">
        <v>6.6296012479301447E-2</v>
      </c>
      <c r="U88">
        <v>0</v>
      </c>
      <c r="V88">
        <v>0</v>
      </c>
      <c r="W88">
        <f>tFunnel[[#This Row],[reach_rate]] -tFunnel[[#This Row],[reach_rate_lower]]</f>
        <v>2.872544219912429E-2</v>
      </c>
      <c r="X88">
        <f>tFunnel[[#This Row],[reach_rate_upper]]-tFunnel[[#This Row],[reach_rate]]</f>
        <v>3.1103031349401233E-2</v>
      </c>
      <c r="Y88">
        <f>tFunnel[[#This Row],[step_conversion]]-tFunnel[[#This Row],[step_conversion_lower]]</f>
        <v>2.872544219912429E-2</v>
      </c>
      <c r="Z88" s="1">
        <f>tFunnel[[#This Row],[step_conversion_upper]]-tFunnel[[#This Row],[step_conversion]]</f>
        <v>3.1103031349401233E-2</v>
      </c>
      <c r="AA88" s="1">
        <f>tFunnel[[#This Row],[gap_vs_rest]]-tFunnel[[#This Row],[gap_vs_rest_lower]]</f>
        <v>2.8757393523371661E-2</v>
      </c>
      <c r="AB88" s="1">
        <f>tFunnel[[#This Row],[gap_vs_rest_upper]]-tFunnel[[#This Row],[gap_vs_rest]]</f>
        <v>3.1132274743782384E-2</v>
      </c>
    </row>
    <row r="89" spans="1:28" hidden="1" x14ac:dyDescent="0.3">
      <c r="A89" s="1" t="s">
        <v>36</v>
      </c>
      <c r="B89">
        <v>3</v>
      </c>
      <c r="C89" s="1" t="s">
        <v>37</v>
      </c>
      <c r="D89">
        <v>5</v>
      </c>
      <c r="E89" s="1" t="s">
        <v>29</v>
      </c>
      <c r="F89">
        <v>2</v>
      </c>
      <c r="G89">
        <v>3664</v>
      </c>
      <c r="H89">
        <v>770</v>
      </c>
      <c r="I89">
        <v>3664</v>
      </c>
      <c r="J89">
        <v>770</v>
      </c>
      <c r="K89">
        <v>0.2101528384279476</v>
      </c>
      <c r="L89">
        <v>0.19726785540581065</v>
      </c>
      <c r="M89">
        <v>0.22364495562724113</v>
      </c>
      <c r="N89">
        <v>0.2101528384279476</v>
      </c>
      <c r="O89">
        <v>0.19726785540581065</v>
      </c>
      <c r="P89">
        <v>0.22364495562724113</v>
      </c>
      <c r="Q89">
        <v>0</v>
      </c>
      <c r="R89">
        <v>-5.1269915372725572E-3</v>
      </c>
      <c r="S89">
        <v>-1.8083658756975263E-2</v>
      </c>
      <c r="T89">
        <v>8.4329783597672063E-3</v>
      </c>
      <c r="U89">
        <v>0</v>
      </c>
      <c r="V89">
        <v>0</v>
      </c>
      <c r="W89">
        <f>tFunnel[[#This Row],[reach_rate]] -tFunnel[[#This Row],[reach_rate_lower]]</f>
        <v>1.2884983022136948E-2</v>
      </c>
      <c r="X89">
        <f>tFunnel[[#This Row],[reach_rate_upper]]-tFunnel[[#This Row],[reach_rate]]</f>
        <v>1.3492117199293524E-2</v>
      </c>
      <c r="Y89">
        <f>tFunnel[[#This Row],[step_conversion]]-tFunnel[[#This Row],[step_conversion_lower]]</f>
        <v>1.2884983022136948E-2</v>
      </c>
      <c r="Z89" s="1">
        <f>tFunnel[[#This Row],[step_conversion_upper]]-tFunnel[[#This Row],[step_conversion]]</f>
        <v>1.3492117199293524E-2</v>
      </c>
      <c r="AA89" s="1">
        <f>tFunnel[[#This Row],[gap_vs_rest]]-tFunnel[[#This Row],[gap_vs_rest_lower]]</f>
        <v>1.2956667219702706E-2</v>
      </c>
      <c r="AB89" s="1">
        <f>tFunnel[[#This Row],[gap_vs_rest_upper]]-tFunnel[[#This Row],[gap_vs_rest]]</f>
        <v>1.3559969897039763E-2</v>
      </c>
    </row>
    <row r="90" spans="1:28" hidden="1" x14ac:dyDescent="0.3">
      <c r="A90" s="1" t="s">
        <v>36</v>
      </c>
      <c r="B90">
        <v>3</v>
      </c>
      <c r="C90" s="1" t="s">
        <v>38</v>
      </c>
      <c r="D90">
        <v>4</v>
      </c>
      <c r="E90" s="1" t="s">
        <v>29</v>
      </c>
      <c r="F90">
        <v>2</v>
      </c>
      <c r="G90">
        <v>3745</v>
      </c>
      <c r="H90">
        <v>831</v>
      </c>
      <c r="I90">
        <v>3745</v>
      </c>
      <c r="J90">
        <v>831</v>
      </c>
      <c r="K90">
        <v>0.22189586114819759</v>
      </c>
      <c r="L90">
        <v>0.20887651633218779</v>
      </c>
      <c r="M90">
        <v>0.23548515570779363</v>
      </c>
      <c r="N90">
        <v>0.22189586114819759</v>
      </c>
      <c r="O90">
        <v>0.20887651633218779</v>
      </c>
      <c r="P90">
        <v>0.23548515570779363</v>
      </c>
      <c r="Q90">
        <v>0</v>
      </c>
      <c r="R90">
        <v>6.73984162834948E-3</v>
      </c>
      <c r="S90">
        <v>-6.3504386149139409E-3</v>
      </c>
      <c r="T90">
        <v>2.0396493250099082E-2</v>
      </c>
      <c r="U90">
        <v>0</v>
      </c>
      <c r="V90">
        <v>0</v>
      </c>
      <c r="W90">
        <f>tFunnel[[#This Row],[reach_rate]] -tFunnel[[#This Row],[reach_rate_lower]]</f>
        <v>1.3019344816009804E-2</v>
      </c>
      <c r="X90">
        <f>tFunnel[[#This Row],[reach_rate_upper]]-tFunnel[[#This Row],[reach_rate]]</f>
        <v>1.3589294559596038E-2</v>
      </c>
      <c r="Y90">
        <f>tFunnel[[#This Row],[step_conversion]]-tFunnel[[#This Row],[step_conversion_lower]]</f>
        <v>1.3019344816009804E-2</v>
      </c>
      <c r="Z90" s="1">
        <f>tFunnel[[#This Row],[step_conversion_upper]]-tFunnel[[#This Row],[step_conversion]]</f>
        <v>1.3589294559596038E-2</v>
      </c>
      <c r="AA90" s="1">
        <f>tFunnel[[#This Row],[gap_vs_rest]]-tFunnel[[#This Row],[gap_vs_rest_lower]]</f>
        <v>1.3090280243263421E-2</v>
      </c>
      <c r="AB90" s="1">
        <f>tFunnel[[#This Row],[gap_vs_rest_upper]]-tFunnel[[#This Row],[gap_vs_rest]]</f>
        <v>1.3656651621749602E-2</v>
      </c>
    </row>
    <row r="91" spans="1:28" hidden="1" x14ac:dyDescent="0.3">
      <c r="A91" s="1" t="s">
        <v>36</v>
      </c>
      <c r="B91">
        <v>3</v>
      </c>
      <c r="C91" s="1" t="s">
        <v>39</v>
      </c>
      <c r="D91">
        <v>3</v>
      </c>
      <c r="E91" s="1" t="s">
        <v>29</v>
      </c>
      <c r="F91">
        <v>2</v>
      </c>
      <c r="G91">
        <v>66291</v>
      </c>
      <c r="H91">
        <v>14143</v>
      </c>
      <c r="I91">
        <v>66291</v>
      </c>
      <c r="J91">
        <v>14143</v>
      </c>
      <c r="K91">
        <v>0.21334721153701106</v>
      </c>
      <c r="L91">
        <v>0.21024529532022229</v>
      </c>
      <c r="M91">
        <v>0.21648234798257951</v>
      </c>
      <c r="N91">
        <v>0.21334721153701106</v>
      </c>
      <c r="O91">
        <v>0.21024529532022229</v>
      </c>
      <c r="P91">
        <v>0.21648234798257951</v>
      </c>
      <c r="Q91">
        <v>0</v>
      </c>
      <c r="R91">
        <v>-2.3105290169448678E-3</v>
      </c>
      <c r="S91">
        <v>-5.7571558675073376E-3</v>
      </c>
      <c r="T91">
        <v>1.1627690717826E-3</v>
      </c>
      <c r="U91">
        <v>0</v>
      </c>
      <c r="V91">
        <v>0</v>
      </c>
      <c r="W91">
        <f>tFunnel[[#This Row],[reach_rate]] -tFunnel[[#This Row],[reach_rate_lower]]</f>
        <v>3.1019162167887637E-3</v>
      </c>
      <c r="X91">
        <f>tFunnel[[#This Row],[reach_rate_upper]]-tFunnel[[#This Row],[reach_rate]]</f>
        <v>3.1351364455684538E-3</v>
      </c>
      <c r="Y91">
        <f>tFunnel[[#This Row],[step_conversion]]-tFunnel[[#This Row],[step_conversion_lower]]</f>
        <v>3.1019162167887637E-3</v>
      </c>
      <c r="Z91" s="1">
        <f>tFunnel[[#This Row],[step_conversion_upper]]-tFunnel[[#This Row],[step_conversion]]</f>
        <v>3.1351364455684538E-3</v>
      </c>
      <c r="AA91" s="1">
        <f>tFunnel[[#This Row],[gap_vs_rest]]-tFunnel[[#This Row],[gap_vs_rest_lower]]</f>
        <v>3.4466268505624698E-3</v>
      </c>
      <c r="AB91" s="1">
        <f>tFunnel[[#This Row],[gap_vs_rest_upper]]-tFunnel[[#This Row],[gap_vs_rest]]</f>
        <v>3.4732980887274677E-3</v>
      </c>
    </row>
    <row r="92" spans="1:28" hidden="1" x14ac:dyDescent="0.3">
      <c r="A92" s="1" t="s">
        <v>36</v>
      </c>
      <c r="B92">
        <v>3</v>
      </c>
      <c r="C92" s="1" t="s">
        <v>40</v>
      </c>
      <c r="D92">
        <v>2</v>
      </c>
      <c r="E92" s="1" t="s">
        <v>29</v>
      </c>
      <c r="F92">
        <v>2</v>
      </c>
      <c r="G92">
        <v>84481</v>
      </c>
      <c r="H92">
        <v>18111</v>
      </c>
      <c r="I92">
        <v>84481</v>
      </c>
      <c r="J92">
        <v>18111</v>
      </c>
      <c r="K92">
        <v>0.21437956463583527</v>
      </c>
      <c r="L92">
        <v>0.21162521770243212</v>
      </c>
      <c r="M92">
        <v>0.21715988543956036</v>
      </c>
      <c r="N92">
        <v>0.21437956463583527</v>
      </c>
      <c r="O92">
        <v>0.21162521770243212</v>
      </c>
      <c r="P92">
        <v>0.21715988543956036</v>
      </c>
      <c r="Q92">
        <v>0</v>
      </c>
      <c r="R92">
        <v>-1.1115072867352027E-3</v>
      </c>
      <c r="S92">
        <v>-4.272882593537238E-3</v>
      </c>
      <c r="T92">
        <v>2.0686018276906567E-3</v>
      </c>
      <c r="U92">
        <v>0</v>
      </c>
      <c r="V92">
        <v>0</v>
      </c>
      <c r="W92">
        <f>tFunnel[[#This Row],[reach_rate]] -tFunnel[[#This Row],[reach_rate_lower]]</f>
        <v>2.7543469334031512E-3</v>
      </c>
      <c r="X92">
        <f>tFunnel[[#This Row],[reach_rate_upper]]-tFunnel[[#This Row],[reach_rate]]</f>
        <v>2.7803208037250893E-3</v>
      </c>
      <c r="Y92">
        <f>tFunnel[[#This Row],[step_conversion]]-tFunnel[[#This Row],[step_conversion_lower]]</f>
        <v>2.7543469334031512E-3</v>
      </c>
      <c r="Z92" s="1">
        <f>tFunnel[[#This Row],[step_conversion_upper]]-tFunnel[[#This Row],[step_conversion]]</f>
        <v>2.7803208037250893E-3</v>
      </c>
      <c r="AA92" s="1">
        <f>tFunnel[[#This Row],[gap_vs_rest]]-tFunnel[[#This Row],[gap_vs_rest_lower]]</f>
        <v>3.1613753068020353E-3</v>
      </c>
      <c r="AB92" s="1">
        <f>tFunnel[[#This Row],[gap_vs_rest_upper]]-tFunnel[[#This Row],[gap_vs_rest]]</f>
        <v>3.1801091144258594E-3</v>
      </c>
    </row>
    <row r="93" spans="1:28" hidden="1" x14ac:dyDescent="0.3">
      <c r="A93" s="1" t="s">
        <v>36</v>
      </c>
      <c r="B93">
        <v>3</v>
      </c>
      <c r="C93" s="1" t="s">
        <v>41</v>
      </c>
      <c r="D93">
        <v>1</v>
      </c>
      <c r="E93" s="1" t="s">
        <v>29</v>
      </c>
      <c r="F93">
        <v>2</v>
      </c>
      <c r="G93">
        <v>196608</v>
      </c>
      <c r="H93">
        <v>42477</v>
      </c>
      <c r="I93">
        <v>196608</v>
      </c>
      <c r="J93">
        <v>42477</v>
      </c>
      <c r="K93">
        <v>0.2160491943359375</v>
      </c>
      <c r="L93">
        <v>0.21423560272506711</v>
      </c>
      <c r="M93">
        <v>0.21787388177233069</v>
      </c>
      <c r="N93">
        <v>0.2160491943359375</v>
      </c>
      <c r="O93">
        <v>0.21423560272506711</v>
      </c>
      <c r="P93">
        <v>0.21787388177233069</v>
      </c>
      <c r="Q93">
        <v>0</v>
      </c>
      <c r="R93">
        <v>1.83895934373704E-3</v>
      </c>
      <c r="S93">
        <v>-8.7841171199979891E-4</v>
      </c>
      <c r="T93">
        <v>4.5535075317982374E-3</v>
      </c>
      <c r="U93">
        <v>0</v>
      </c>
      <c r="V93">
        <v>0</v>
      </c>
      <c r="W93">
        <f>tFunnel[[#This Row],[reach_rate]] -tFunnel[[#This Row],[reach_rate_lower]]</f>
        <v>1.8135916108703853E-3</v>
      </c>
      <c r="X93">
        <f>tFunnel[[#This Row],[reach_rate_upper]]-tFunnel[[#This Row],[reach_rate]]</f>
        <v>1.8246874363931909E-3</v>
      </c>
      <c r="Y93">
        <f>tFunnel[[#This Row],[step_conversion]]-tFunnel[[#This Row],[step_conversion_lower]]</f>
        <v>1.8135916108703853E-3</v>
      </c>
      <c r="Z93" s="1">
        <f>tFunnel[[#This Row],[step_conversion_upper]]-tFunnel[[#This Row],[step_conversion]]</f>
        <v>1.8246874363931909E-3</v>
      </c>
      <c r="AA93" s="1">
        <f>tFunnel[[#This Row],[gap_vs_rest]]-tFunnel[[#This Row],[gap_vs_rest_lower]]</f>
        <v>2.7173710557368389E-3</v>
      </c>
      <c r="AB93" s="1">
        <f>tFunnel[[#This Row],[gap_vs_rest_upper]]-tFunnel[[#This Row],[gap_vs_rest]]</f>
        <v>2.7145481880611975E-3</v>
      </c>
    </row>
    <row r="94" spans="1:28" hidden="1" x14ac:dyDescent="0.3">
      <c r="A94" s="1" t="s">
        <v>42</v>
      </c>
      <c r="B94">
        <v>2</v>
      </c>
      <c r="C94" s="1" t="s">
        <v>43</v>
      </c>
      <c r="D94">
        <v>3</v>
      </c>
      <c r="E94" s="1" t="s">
        <v>29</v>
      </c>
      <c r="F94">
        <v>2</v>
      </c>
      <c r="G94">
        <v>7886</v>
      </c>
      <c r="H94">
        <v>1699</v>
      </c>
      <c r="I94">
        <v>7886</v>
      </c>
      <c r="J94">
        <v>1699</v>
      </c>
      <c r="K94">
        <v>0.21544509256910982</v>
      </c>
      <c r="L94">
        <v>0.20651077099374765</v>
      </c>
      <c r="M94">
        <v>0.2246565061448787</v>
      </c>
      <c r="N94">
        <v>0.21544509256910982</v>
      </c>
      <c r="O94">
        <v>0.20651077099374765</v>
      </c>
      <c r="P94">
        <v>0.2246565061448787</v>
      </c>
      <c r="Q94">
        <v>0</v>
      </c>
      <c r="R94">
        <v>2.2303715447791195E-4</v>
      </c>
      <c r="S94">
        <v>-8.8155867564977484E-3</v>
      </c>
      <c r="T94">
        <v>9.5347270751612364E-3</v>
      </c>
      <c r="U94">
        <v>0</v>
      </c>
      <c r="V94">
        <v>0</v>
      </c>
      <c r="W94">
        <f>tFunnel[[#This Row],[reach_rate]] -tFunnel[[#This Row],[reach_rate_lower]]</f>
        <v>8.9343215753621696E-3</v>
      </c>
      <c r="X94">
        <f>tFunnel[[#This Row],[reach_rate_upper]]-tFunnel[[#This Row],[reach_rate]]</f>
        <v>9.2114135757688786E-3</v>
      </c>
      <c r="Y94">
        <f>tFunnel[[#This Row],[step_conversion]]-tFunnel[[#This Row],[step_conversion_lower]]</f>
        <v>8.9343215753621696E-3</v>
      </c>
      <c r="Z94" s="1">
        <f>tFunnel[[#This Row],[step_conversion_upper]]-tFunnel[[#This Row],[step_conversion]]</f>
        <v>9.2114135757688786E-3</v>
      </c>
      <c r="AA94" s="1">
        <f>tFunnel[[#This Row],[gap_vs_rest]]-tFunnel[[#This Row],[gap_vs_rest_lower]]</f>
        <v>9.0386239109756603E-3</v>
      </c>
      <c r="AB94" s="1">
        <f>tFunnel[[#This Row],[gap_vs_rest_upper]]-tFunnel[[#This Row],[gap_vs_rest]]</f>
        <v>9.3116899206833244E-3</v>
      </c>
    </row>
    <row r="95" spans="1:28" hidden="1" x14ac:dyDescent="0.3">
      <c r="A95" s="1" t="s">
        <v>42</v>
      </c>
      <c r="B95">
        <v>2</v>
      </c>
      <c r="C95" s="1" t="s">
        <v>44</v>
      </c>
      <c r="D95">
        <v>2</v>
      </c>
      <c r="E95" s="1" t="s">
        <v>29</v>
      </c>
      <c r="F95">
        <v>2</v>
      </c>
      <c r="G95">
        <v>141352</v>
      </c>
      <c r="H95">
        <v>30374</v>
      </c>
      <c r="I95">
        <v>141352</v>
      </c>
      <c r="J95">
        <v>30374</v>
      </c>
      <c r="K95">
        <v>0.21488199671741468</v>
      </c>
      <c r="L95">
        <v>0.21274852379590792</v>
      </c>
      <c r="M95">
        <v>0.21703096626183593</v>
      </c>
      <c r="N95">
        <v>0.21488199671741468</v>
      </c>
      <c r="O95">
        <v>0.21274852379590792</v>
      </c>
      <c r="P95">
        <v>0.21703096626183593</v>
      </c>
      <c r="Q95">
        <v>0</v>
      </c>
      <c r="R95">
        <v>-5.7263360372050709E-4</v>
      </c>
      <c r="S95">
        <v>-3.3295076213566387E-3</v>
      </c>
      <c r="T95">
        <v>2.189827041844537E-3</v>
      </c>
      <c r="U95">
        <v>0</v>
      </c>
      <c r="V95">
        <v>0</v>
      </c>
      <c r="W95">
        <f>tFunnel[[#This Row],[reach_rate]] -tFunnel[[#This Row],[reach_rate_lower]]</f>
        <v>2.1334729215067572E-3</v>
      </c>
      <c r="X95">
        <f>tFunnel[[#This Row],[reach_rate_upper]]-tFunnel[[#This Row],[reach_rate]]</f>
        <v>2.1489695444212586E-3</v>
      </c>
      <c r="Y95">
        <f>tFunnel[[#This Row],[step_conversion]]-tFunnel[[#This Row],[step_conversion_lower]]</f>
        <v>2.1334729215067572E-3</v>
      </c>
      <c r="Z95" s="1">
        <f>tFunnel[[#This Row],[step_conversion_upper]]-tFunnel[[#This Row],[step_conversion]]</f>
        <v>2.1489695444212586E-3</v>
      </c>
      <c r="AA95" s="1">
        <f>tFunnel[[#This Row],[gap_vs_rest]]-tFunnel[[#This Row],[gap_vs_rest_lower]]</f>
        <v>2.7568740176361316E-3</v>
      </c>
      <c r="AB95" s="1">
        <f>tFunnel[[#This Row],[gap_vs_rest_upper]]-tFunnel[[#This Row],[gap_vs_rest]]</f>
        <v>2.7624606455650441E-3</v>
      </c>
    </row>
    <row r="96" spans="1:28" hidden="1" x14ac:dyDescent="0.3">
      <c r="A96" s="1" t="s">
        <v>42</v>
      </c>
      <c r="B96">
        <v>2</v>
      </c>
      <c r="C96" s="1" t="s">
        <v>45</v>
      </c>
      <c r="D96">
        <v>1</v>
      </c>
      <c r="E96" s="1" t="s">
        <v>29</v>
      </c>
      <c r="F96">
        <v>2</v>
      </c>
      <c r="G96">
        <v>206354</v>
      </c>
      <c r="H96">
        <v>44460</v>
      </c>
      <c r="I96">
        <v>206354</v>
      </c>
      <c r="J96">
        <v>44460</v>
      </c>
      <c r="K96">
        <v>0.21545499481473585</v>
      </c>
      <c r="L96">
        <v>0.21368640147760179</v>
      </c>
      <c r="M96">
        <v>0.21723418205932279</v>
      </c>
      <c r="N96">
        <v>0.21545499481473585</v>
      </c>
      <c r="O96">
        <v>0.21368640147760179</v>
      </c>
      <c r="P96">
        <v>0.21723418205932279</v>
      </c>
      <c r="Q96">
        <v>0</v>
      </c>
      <c r="R96">
        <v>5.4324311610681741E-4</v>
      </c>
      <c r="S96">
        <v>-2.1956543235738084E-3</v>
      </c>
      <c r="T96">
        <v>3.2778315443469127E-3</v>
      </c>
      <c r="U96">
        <v>0</v>
      </c>
      <c r="V96">
        <v>0</v>
      </c>
      <c r="W96">
        <f>tFunnel[[#This Row],[reach_rate]] -tFunnel[[#This Row],[reach_rate_lower]]</f>
        <v>1.7685933371340556E-3</v>
      </c>
      <c r="X96">
        <f>tFunnel[[#This Row],[reach_rate_upper]]-tFunnel[[#This Row],[reach_rate]]</f>
        <v>1.7791872445869494E-3</v>
      </c>
      <c r="Y96">
        <f>tFunnel[[#This Row],[step_conversion]]-tFunnel[[#This Row],[step_conversion_lower]]</f>
        <v>1.7685933371340556E-3</v>
      </c>
      <c r="Z96" s="1">
        <f>tFunnel[[#This Row],[step_conversion_upper]]-tFunnel[[#This Row],[step_conversion]]</f>
        <v>1.7791872445869494E-3</v>
      </c>
      <c r="AA96" s="1">
        <f>tFunnel[[#This Row],[gap_vs_rest]]-tFunnel[[#This Row],[gap_vs_rest_lower]]</f>
        <v>2.7388974396806258E-3</v>
      </c>
      <c r="AB96" s="1">
        <f>tFunnel[[#This Row],[gap_vs_rest_upper]]-tFunnel[[#This Row],[gap_vs_rest]]</f>
        <v>2.7345884282400953E-3</v>
      </c>
    </row>
    <row r="97" spans="1:28" x14ac:dyDescent="0.3">
      <c r="A97" s="1" t="s">
        <v>46</v>
      </c>
      <c r="B97">
        <v>1</v>
      </c>
      <c r="C97" s="1" t="s">
        <v>47</v>
      </c>
      <c r="D97">
        <v>0</v>
      </c>
      <c r="E97" s="1" t="s">
        <v>29</v>
      </c>
      <c r="F97">
        <v>2</v>
      </c>
      <c r="G97">
        <v>355592</v>
      </c>
      <c r="H97">
        <v>76533</v>
      </c>
      <c r="I97">
        <v>355592</v>
      </c>
      <c r="J97">
        <v>76533</v>
      </c>
      <c r="K97">
        <v>0.21522700173232243</v>
      </c>
      <c r="L97">
        <v>0.21387927736713558</v>
      </c>
      <c r="M97">
        <v>0.21658087883404784</v>
      </c>
      <c r="N97">
        <v>0.21522700173232243</v>
      </c>
      <c r="O97">
        <v>0.21387927736713558</v>
      </c>
      <c r="P97">
        <v>0.21658087883404784</v>
      </c>
      <c r="Q97">
        <v>0</v>
      </c>
      <c r="U97">
        <v>0</v>
      </c>
      <c r="V97">
        <v>0</v>
      </c>
      <c r="W97">
        <f>tFunnel[[#This Row],[reach_rate]] -tFunnel[[#This Row],[reach_rate_lower]]</f>
        <v>1.3477243651868476E-3</v>
      </c>
      <c r="X97">
        <f>tFunnel[[#This Row],[reach_rate_upper]]-tFunnel[[#This Row],[reach_rate]]</f>
        <v>1.3538771017254092E-3</v>
      </c>
      <c r="Y97">
        <f>tFunnel[[#This Row],[step_conversion]]-tFunnel[[#This Row],[step_conversion_lower]]</f>
        <v>1.3477243651868476E-3</v>
      </c>
      <c r="Z97" s="1">
        <f>tFunnel[[#This Row],[step_conversion_upper]]-tFunnel[[#This Row],[step_conversion]]</f>
        <v>1.3538771017254092E-3</v>
      </c>
      <c r="AA97" s="1">
        <f>tFunnel[[#This Row],[gap_vs_rest]]-tFunnel[[#This Row],[gap_vs_rest_lower]]</f>
        <v>0</v>
      </c>
      <c r="AB97" s="1">
        <f>tFunnel[[#This Row],[gap_vs_rest_upper]]-tFunnel[[#This Row],[gap_vs_rest]]</f>
        <v>0</v>
      </c>
    </row>
    <row r="98" spans="1:28" hidden="1" x14ac:dyDescent="0.3">
      <c r="A98" s="1" t="s">
        <v>22</v>
      </c>
      <c r="B98">
        <v>4</v>
      </c>
      <c r="C98" s="1" t="s">
        <v>23</v>
      </c>
      <c r="D98">
        <v>6</v>
      </c>
      <c r="E98" s="1" t="s">
        <v>25</v>
      </c>
      <c r="F98">
        <v>1</v>
      </c>
      <c r="G98">
        <v>15548</v>
      </c>
      <c r="H98">
        <v>15548</v>
      </c>
      <c r="I98">
        <v>15548</v>
      </c>
      <c r="J98">
        <v>15548</v>
      </c>
      <c r="K98">
        <v>1</v>
      </c>
      <c r="L98">
        <v>0.9997529900950024</v>
      </c>
      <c r="M98">
        <v>1.0000000000000002</v>
      </c>
      <c r="N98">
        <v>1</v>
      </c>
      <c r="O98">
        <v>0.9997529900950024</v>
      </c>
      <c r="P98">
        <v>1.0000000000000002</v>
      </c>
      <c r="Q98">
        <v>0</v>
      </c>
      <c r="R98">
        <v>0</v>
      </c>
      <c r="S98">
        <v>-2.4700990499759712E-4</v>
      </c>
      <c r="T98">
        <v>1.1296818897221783E-5</v>
      </c>
      <c r="U98">
        <v>0</v>
      </c>
      <c r="V98">
        <v>0</v>
      </c>
      <c r="W98">
        <f>tFunnel[[#This Row],[reach_rate]] -tFunnel[[#This Row],[reach_rate_lower]]</f>
        <v>2.4700990499759712E-4</v>
      </c>
      <c r="X98">
        <f>tFunnel[[#This Row],[reach_rate_upper]]-tFunnel[[#This Row],[reach_rate]]</f>
        <v>0</v>
      </c>
      <c r="Y98">
        <f>tFunnel[[#This Row],[step_conversion]]-tFunnel[[#This Row],[step_conversion_lower]]</f>
        <v>2.4700990499759712E-4</v>
      </c>
      <c r="Z98" s="1">
        <f>tFunnel[[#This Row],[step_conversion_upper]]-tFunnel[[#This Row],[step_conversion]]</f>
        <v>0</v>
      </c>
      <c r="AA98" s="1">
        <f>tFunnel[[#This Row],[gap_vs_rest]]-tFunnel[[#This Row],[gap_vs_rest_lower]]</f>
        <v>2.4700990499759712E-4</v>
      </c>
      <c r="AB98" s="1">
        <f>tFunnel[[#This Row],[gap_vs_rest_upper]]-tFunnel[[#This Row],[gap_vs_rest]]</f>
        <v>1.1296818897221783E-5</v>
      </c>
    </row>
    <row r="99" spans="1:28" hidden="1" x14ac:dyDescent="0.3">
      <c r="A99" s="1" t="s">
        <v>22</v>
      </c>
      <c r="B99">
        <v>4</v>
      </c>
      <c r="C99" s="1" t="s">
        <v>31</v>
      </c>
      <c r="D99">
        <v>99</v>
      </c>
      <c r="E99" s="1" t="s">
        <v>25</v>
      </c>
      <c r="F99">
        <v>1</v>
      </c>
      <c r="G99">
        <v>21651</v>
      </c>
      <c r="H99">
        <v>21651</v>
      </c>
      <c r="I99">
        <v>21651</v>
      </c>
      <c r="J99">
        <v>21651</v>
      </c>
      <c r="K99">
        <v>1</v>
      </c>
      <c r="L99">
        <v>0.9998226050793958</v>
      </c>
      <c r="M99">
        <v>1.0000000000000002</v>
      </c>
      <c r="N99">
        <v>1</v>
      </c>
      <c r="O99">
        <v>0.9998226050793958</v>
      </c>
      <c r="P99">
        <v>1.0000000000000002</v>
      </c>
      <c r="Q99">
        <v>0</v>
      </c>
      <c r="R99">
        <v>0</v>
      </c>
      <c r="S99">
        <v>-1.7739492060420137E-4</v>
      </c>
      <c r="T99">
        <v>1.1503273608104436E-5</v>
      </c>
      <c r="U99">
        <v>0</v>
      </c>
      <c r="V99">
        <v>0</v>
      </c>
      <c r="W99">
        <f>tFunnel[[#This Row],[reach_rate]] -tFunnel[[#This Row],[reach_rate_lower]]</f>
        <v>1.7739492060420137E-4</v>
      </c>
      <c r="X99">
        <f>tFunnel[[#This Row],[reach_rate_upper]]-tFunnel[[#This Row],[reach_rate]]</f>
        <v>0</v>
      </c>
      <c r="Y99">
        <f>tFunnel[[#This Row],[step_conversion]]-tFunnel[[#This Row],[step_conversion_lower]]</f>
        <v>1.7739492060420137E-4</v>
      </c>
      <c r="Z99" s="1">
        <f>tFunnel[[#This Row],[step_conversion_upper]]-tFunnel[[#This Row],[step_conversion]]</f>
        <v>0</v>
      </c>
      <c r="AA99" s="1">
        <f>tFunnel[[#This Row],[gap_vs_rest]]-tFunnel[[#This Row],[gap_vs_rest_lower]]</f>
        <v>1.7739492060420137E-4</v>
      </c>
      <c r="AB99" s="1">
        <f>tFunnel[[#This Row],[gap_vs_rest_upper]]-tFunnel[[#This Row],[gap_vs_rest]]</f>
        <v>1.1503273608104436E-5</v>
      </c>
    </row>
    <row r="100" spans="1:28" hidden="1" x14ac:dyDescent="0.3">
      <c r="A100" s="1" t="s">
        <v>22</v>
      </c>
      <c r="B100">
        <v>4</v>
      </c>
      <c r="C100" s="1" t="s">
        <v>32</v>
      </c>
      <c r="D100">
        <v>4</v>
      </c>
      <c r="E100" s="1" t="s">
        <v>25</v>
      </c>
      <c r="F100">
        <v>1</v>
      </c>
      <c r="G100">
        <v>51789</v>
      </c>
      <c r="H100">
        <v>51789</v>
      </c>
      <c r="I100">
        <v>51789</v>
      </c>
      <c r="J100">
        <v>51789</v>
      </c>
      <c r="K100">
        <v>1</v>
      </c>
      <c r="L100">
        <v>0.99992583031219973</v>
      </c>
      <c r="M100">
        <v>1.0000000000000002</v>
      </c>
      <c r="N100">
        <v>1</v>
      </c>
      <c r="O100">
        <v>0.99992583031219973</v>
      </c>
      <c r="P100">
        <v>1.0000000000000002</v>
      </c>
      <c r="Q100">
        <v>0</v>
      </c>
      <c r="R100">
        <v>0</v>
      </c>
      <c r="S100">
        <v>-7.4169687800273998E-5</v>
      </c>
      <c r="T100">
        <v>1.2644412031193042E-5</v>
      </c>
      <c r="U100">
        <v>0</v>
      </c>
      <c r="V100">
        <v>0</v>
      </c>
      <c r="W100">
        <f>tFunnel[[#This Row],[reach_rate]] -tFunnel[[#This Row],[reach_rate_lower]]</f>
        <v>7.4169687800273998E-5</v>
      </c>
      <c r="X100">
        <f>tFunnel[[#This Row],[reach_rate_upper]]-tFunnel[[#This Row],[reach_rate]]</f>
        <v>0</v>
      </c>
      <c r="Y100">
        <f>tFunnel[[#This Row],[step_conversion]]-tFunnel[[#This Row],[step_conversion_lower]]</f>
        <v>7.4169687800273998E-5</v>
      </c>
      <c r="Z100" s="1">
        <f>tFunnel[[#This Row],[step_conversion_upper]]-tFunnel[[#This Row],[step_conversion]]</f>
        <v>0</v>
      </c>
      <c r="AA100" s="1">
        <f>tFunnel[[#This Row],[gap_vs_rest]]-tFunnel[[#This Row],[gap_vs_rest_lower]]</f>
        <v>7.4169687800273998E-5</v>
      </c>
      <c r="AB100" s="1">
        <f>tFunnel[[#This Row],[gap_vs_rest_upper]]-tFunnel[[#This Row],[gap_vs_rest]]</f>
        <v>1.2644412031193042E-5</v>
      </c>
    </row>
    <row r="101" spans="1:28" hidden="1" x14ac:dyDescent="0.3">
      <c r="A101" s="1" t="s">
        <v>22</v>
      </c>
      <c r="B101">
        <v>4</v>
      </c>
      <c r="C101" s="1" t="s">
        <v>33</v>
      </c>
      <c r="D101">
        <v>3</v>
      </c>
      <c r="E101" s="1" t="s">
        <v>25</v>
      </c>
      <c r="F101">
        <v>1</v>
      </c>
      <c r="G101">
        <v>62331</v>
      </c>
      <c r="H101">
        <v>62331</v>
      </c>
      <c r="I101">
        <v>62331</v>
      </c>
      <c r="J101">
        <v>62331</v>
      </c>
      <c r="K101">
        <v>1</v>
      </c>
      <c r="L101">
        <v>0.99993837380842898</v>
      </c>
      <c r="M101">
        <v>1</v>
      </c>
      <c r="N101">
        <v>1</v>
      </c>
      <c r="O101">
        <v>0.99993837380842898</v>
      </c>
      <c r="P101">
        <v>1</v>
      </c>
      <c r="Q101">
        <v>0</v>
      </c>
      <c r="R101">
        <v>0</v>
      </c>
      <c r="S101">
        <v>-6.1626191571018119E-5</v>
      </c>
      <c r="T101">
        <v>1.3098941087363869E-5</v>
      </c>
      <c r="U101">
        <v>0</v>
      </c>
      <c r="V101">
        <v>0</v>
      </c>
      <c r="W101">
        <f>tFunnel[[#This Row],[reach_rate]] -tFunnel[[#This Row],[reach_rate_lower]]</f>
        <v>6.1626191571018119E-5</v>
      </c>
      <c r="X101">
        <f>tFunnel[[#This Row],[reach_rate_upper]]-tFunnel[[#This Row],[reach_rate]]</f>
        <v>0</v>
      </c>
      <c r="Y101">
        <f>tFunnel[[#This Row],[step_conversion]]-tFunnel[[#This Row],[step_conversion_lower]]</f>
        <v>6.1626191571018119E-5</v>
      </c>
      <c r="Z101" s="1">
        <f>tFunnel[[#This Row],[step_conversion_upper]]-tFunnel[[#This Row],[step_conversion]]</f>
        <v>0</v>
      </c>
      <c r="AA101" s="1">
        <f>tFunnel[[#This Row],[gap_vs_rest]]-tFunnel[[#This Row],[gap_vs_rest_lower]]</f>
        <v>6.1626191571018119E-5</v>
      </c>
      <c r="AB101" s="1">
        <f>tFunnel[[#This Row],[gap_vs_rest_upper]]-tFunnel[[#This Row],[gap_vs_rest]]</f>
        <v>1.3098941087363869E-5</v>
      </c>
    </row>
    <row r="102" spans="1:28" hidden="1" x14ac:dyDescent="0.3">
      <c r="A102" s="1" t="s">
        <v>22</v>
      </c>
      <c r="B102">
        <v>4</v>
      </c>
      <c r="C102" s="1" t="s">
        <v>34</v>
      </c>
      <c r="D102">
        <v>2</v>
      </c>
      <c r="E102" s="1" t="s">
        <v>25</v>
      </c>
      <c r="F102">
        <v>1</v>
      </c>
      <c r="G102">
        <v>82493</v>
      </c>
      <c r="H102">
        <v>82493</v>
      </c>
      <c r="I102">
        <v>82493</v>
      </c>
      <c r="J102">
        <v>82493</v>
      </c>
      <c r="K102">
        <v>1</v>
      </c>
      <c r="L102">
        <v>0.99995343507929069</v>
      </c>
      <c r="M102">
        <v>1</v>
      </c>
      <c r="N102">
        <v>1</v>
      </c>
      <c r="O102">
        <v>0.99995343507929069</v>
      </c>
      <c r="P102">
        <v>1</v>
      </c>
      <c r="Q102">
        <v>0</v>
      </c>
      <c r="R102">
        <v>0</v>
      </c>
      <c r="S102">
        <v>-4.6564920709313284E-5</v>
      </c>
      <c r="T102">
        <v>1.406597917752439E-5</v>
      </c>
      <c r="U102">
        <v>0</v>
      </c>
      <c r="V102">
        <v>0</v>
      </c>
      <c r="W102">
        <f>tFunnel[[#This Row],[reach_rate]] -tFunnel[[#This Row],[reach_rate_lower]]</f>
        <v>4.6564920709313284E-5</v>
      </c>
      <c r="X102">
        <f>tFunnel[[#This Row],[reach_rate_upper]]-tFunnel[[#This Row],[reach_rate]]</f>
        <v>0</v>
      </c>
      <c r="Y102">
        <f>tFunnel[[#This Row],[step_conversion]]-tFunnel[[#This Row],[step_conversion_lower]]</f>
        <v>4.6564920709313284E-5</v>
      </c>
      <c r="Z102" s="1">
        <f>tFunnel[[#This Row],[step_conversion_upper]]-tFunnel[[#This Row],[step_conversion]]</f>
        <v>0</v>
      </c>
      <c r="AA102" s="1">
        <f>tFunnel[[#This Row],[gap_vs_rest]]-tFunnel[[#This Row],[gap_vs_rest_lower]]</f>
        <v>4.6564920709313284E-5</v>
      </c>
      <c r="AB102" s="1">
        <f>tFunnel[[#This Row],[gap_vs_rest_upper]]-tFunnel[[#This Row],[gap_vs_rest]]</f>
        <v>1.406597917752439E-5</v>
      </c>
    </row>
    <row r="103" spans="1:28" hidden="1" x14ac:dyDescent="0.3">
      <c r="A103" s="1" t="s">
        <v>22</v>
      </c>
      <c r="B103">
        <v>4</v>
      </c>
      <c r="C103" s="1" t="s">
        <v>35</v>
      </c>
      <c r="D103">
        <v>1</v>
      </c>
      <c r="E103" s="1" t="s">
        <v>25</v>
      </c>
      <c r="F103">
        <v>1</v>
      </c>
      <c r="G103">
        <v>121780</v>
      </c>
      <c r="H103">
        <v>121780</v>
      </c>
      <c r="I103">
        <v>121780</v>
      </c>
      <c r="J103">
        <v>121780</v>
      </c>
      <c r="K103">
        <v>1</v>
      </c>
      <c r="L103">
        <v>0.99996845674405355</v>
      </c>
      <c r="M103">
        <v>1</v>
      </c>
      <c r="N103">
        <v>1</v>
      </c>
      <c r="O103">
        <v>0.99996845674405355</v>
      </c>
      <c r="P103">
        <v>1</v>
      </c>
      <c r="Q103">
        <v>0</v>
      </c>
      <c r="R103">
        <v>0</v>
      </c>
      <c r="S103">
        <v>-3.1543255946453463E-5</v>
      </c>
      <c r="T103">
        <v>1.6429420937935646E-5</v>
      </c>
      <c r="U103">
        <v>0</v>
      </c>
      <c r="V103">
        <v>0</v>
      </c>
      <c r="W103">
        <f>tFunnel[[#This Row],[reach_rate]] -tFunnel[[#This Row],[reach_rate_lower]]</f>
        <v>3.1543255946453463E-5</v>
      </c>
      <c r="X103">
        <f>tFunnel[[#This Row],[reach_rate_upper]]-tFunnel[[#This Row],[reach_rate]]</f>
        <v>0</v>
      </c>
      <c r="Y103">
        <f>tFunnel[[#This Row],[step_conversion]]-tFunnel[[#This Row],[step_conversion_lower]]</f>
        <v>3.1543255946453463E-5</v>
      </c>
      <c r="Z103" s="1">
        <f>tFunnel[[#This Row],[step_conversion_upper]]-tFunnel[[#This Row],[step_conversion]]</f>
        <v>0</v>
      </c>
      <c r="AA103" s="1">
        <f>tFunnel[[#This Row],[gap_vs_rest]]-tFunnel[[#This Row],[gap_vs_rest_lower]]</f>
        <v>3.1543255946453463E-5</v>
      </c>
      <c r="AB103" s="1">
        <f>tFunnel[[#This Row],[gap_vs_rest_upper]]-tFunnel[[#This Row],[gap_vs_rest]]</f>
        <v>1.6429420937935646E-5</v>
      </c>
    </row>
    <row r="104" spans="1:28" hidden="1" x14ac:dyDescent="0.3">
      <c r="A104" s="1" t="s">
        <v>36</v>
      </c>
      <c r="B104">
        <v>3</v>
      </c>
      <c r="C104" s="1" t="s">
        <v>31</v>
      </c>
      <c r="D104">
        <v>99</v>
      </c>
      <c r="E104" s="1" t="s">
        <v>25</v>
      </c>
      <c r="F104">
        <v>1</v>
      </c>
      <c r="G104">
        <v>803</v>
      </c>
      <c r="H104">
        <v>803</v>
      </c>
      <c r="I104">
        <v>803</v>
      </c>
      <c r="J104">
        <v>803</v>
      </c>
      <c r="K104">
        <v>1</v>
      </c>
      <c r="L104">
        <v>0.99523889254944553</v>
      </c>
      <c r="M104">
        <v>1.0000000000000002</v>
      </c>
      <c r="N104">
        <v>1</v>
      </c>
      <c r="O104">
        <v>0.99523889254944553</v>
      </c>
      <c r="P104">
        <v>1.0000000000000002</v>
      </c>
      <c r="Q104">
        <v>0</v>
      </c>
      <c r="R104">
        <v>0</v>
      </c>
      <c r="S104">
        <v>-4.7611074505544693E-3</v>
      </c>
      <c r="T104">
        <v>1.0827329169238453E-5</v>
      </c>
      <c r="U104">
        <v>0</v>
      </c>
      <c r="V104">
        <v>0</v>
      </c>
      <c r="W104">
        <f>tFunnel[[#This Row],[reach_rate]] -tFunnel[[#This Row],[reach_rate_lower]]</f>
        <v>4.7611074505544693E-3</v>
      </c>
      <c r="X104">
        <f>tFunnel[[#This Row],[reach_rate_upper]]-tFunnel[[#This Row],[reach_rate]]</f>
        <v>0</v>
      </c>
      <c r="Y104">
        <f>tFunnel[[#This Row],[step_conversion]]-tFunnel[[#This Row],[step_conversion_lower]]</f>
        <v>4.7611074505544693E-3</v>
      </c>
      <c r="Z104" s="1">
        <f>tFunnel[[#This Row],[step_conversion_upper]]-tFunnel[[#This Row],[step_conversion]]</f>
        <v>0</v>
      </c>
      <c r="AA104" s="1">
        <f>tFunnel[[#This Row],[gap_vs_rest]]-tFunnel[[#This Row],[gap_vs_rest_lower]]</f>
        <v>4.7611074505544693E-3</v>
      </c>
      <c r="AB104" s="1">
        <f>tFunnel[[#This Row],[gap_vs_rest_upper]]-tFunnel[[#This Row],[gap_vs_rest]]</f>
        <v>1.0827329169238453E-5</v>
      </c>
    </row>
    <row r="105" spans="1:28" hidden="1" x14ac:dyDescent="0.3">
      <c r="A105" s="1" t="s">
        <v>36</v>
      </c>
      <c r="B105">
        <v>3</v>
      </c>
      <c r="C105" s="1" t="s">
        <v>37</v>
      </c>
      <c r="D105">
        <v>5</v>
      </c>
      <c r="E105" s="1" t="s">
        <v>25</v>
      </c>
      <c r="F105">
        <v>1</v>
      </c>
      <c r="G105">
        <v>3664</v>
      </c>
      <c r="H105">
        <v>3664</v>
      </c>
      <c r="I105">
        <v>3664</v>
      </c>
      <c r="J105">
        <v>3664</v>
      </c>
      <c r="K105">
        <v>1</v>
      </c>
      <c r="L105">
        <v>0.99895266495993296</v>
      </c>
      <c r="M105">
        <v>0.99999999999999978</v>
      </c>
      <c r="N105">
        <v>1</v>
      </c>
      <c r="O105">
        <v>0.99895266495993296</v>
      </c>
      <c r="P105">
        <v>0.99999999999999978</v>
      </c>
      <c r="Q105">
        <v>0</v>
      </c>
      <c r="R105">
        <v>0</v>
      </c>
      <c r="S105">
        <v>-1.0473350400670434E-3</v>
      </c>
      <c r="T105">
        <v>1.0915349021423104E-5</v>
      </c>
      <c r="U105">
        <v>0</v>
      </c>
      <c r="V105">
        <v>0</v>
      </c>
      <c r="W105">
        <f>tFunnel[[#This Row],[reach_rate]] -tFunnel[[#This Row],[reach_rate_lower]]</f>
        <v>1.0473350400670434E-3</v>
      </c>
      <c r="X105">
        <f>tFunnel[[#This Row],[reach_rate_upper]]-tFunnel[[#This Row],[reach_rate]]</f>
        <v>0</v>
      </c>
      <c r="Y105">
        <f>tFunnel[[#This Row],[step_conversion]]-tFunnel[[#This Row],[step_conversion_lower]]</f>
        <v>1.0473350400670434E-3</v>
      </c>
      <c r="Z105" s="1">
        <f>tFunnel[[#This Row],[step_conversion_upper]]-tFunnel[[#This Row],[step_conversion]]</f>
        <v>0</v>
      </c>
      <c r="AA105" s="1">
        <f>tFunnel[[#This Row],[gap_vs_rest]]-tFunnel[[#This Row],[gap_vs_rest_lower]]</f>
        <v>1.0473350400670434E-3</v>
      </c>
      <c r="AB105" s="1">
        <f>tFunnel[[#This Row],[gap_vs_rest_upper]]-tFunnel[[#This Row],[gap_vs_rest]]</f>
        <v>1.0915349021423104E-5</v>
      </c>
    </row>
    <row r="106" spans="1:28" hidden="1" x14ac:dyDescent="0.3">
      <c r="A106" s="1" t="s">
        <v>36</v>
      </c>
      <c r="B106">
        <v>3</v>
      </c>
      <c r="C106" s="1" t="s">
        <v>38</v>
      </c>
      <c r="D106">
        <v>4</v>
      </c>
      <c r="E106" s="1" t="s">
        <v>25</v>
      </c>
      <c r="F106">
        <v>1</v>
      </c>
      <c r="G106">
        <v>3745</v>
      </c>
      <c r="H106">
        <v>3745</v>
      </c>
      <c r="I106">
        <v>3745</v>
      </c>
      <c r="J106">
        <v>3745</v>
      </c>
      <c r="K106">
        <v>1</v>
      </c>
      <c r="L106">
        <v>0.99897529438803145</v>
      </c>
      <c r="M106">
        <v>1</v>
      </c>
      <c r="N106">
        <v>1</v>
      </c>
      <c r="O106">
        <v>0.99897529438803145</v>
      </c>
      <c r="P106">
        <v>1</v>
      </c>
      <c r="Q106">
        <v>0</v>
      </c>
      <c r="R106">
        <v>0</v>
      </c>
      <c r="S106">
        <v>-1.024705611968546E-3</v>
      </c>
      <c r="T106">
        <v>1.0917861856918343E-5</v>
      </c>
      <c r="U106">
        <v>0</v>
      </c>
      <c r="V106">
        <v>0</v>
      </c>
      <c r="W106">
        <f>tFunnel[[#This Row],[reach_rate]] -tFunnel[[#This Row],[reach_rate_lower]]</f>
        <v>1.024705611968546E-3</v>
      </c>
      <c r="X106">
        <f>tFunnel[[#This Row],[reach_rate_upper]]-tFunnel[[#This Row],[reach_rate]]</f>
        <v>0</v>
      </c>
      <c r="Y106">
        <f>tFunnel[[#This Row],[step_conversion]]-tFunnel[[#This Row],[step_conversion_lower]]</f>
        <v>1.024705611968546E-3</v>
      </c>
      <c r="Z106" s="1">
        <f>tFunnel[[#This Row],[step_conversion_upper]]-tFunnel[[#This Row],[step_conversion]]</f>
        <v>0</v>
      </c>
      <c r="AA106" s="1">
        <f>tFunnel[[#This Row],[gap_vs_rest]]-tFunnel[[#This Row],[gap_vs_rest_lower]]</f>
        <v>1.024705611968546E-3</v>
      </c>
      <c r="AB106" s="1">
        <f>tFunnel[[#This Row],[gap_vs_rest_upper]]-tFunnel[[#This Row],[gap_vs_rest]]</f>
        <v>1.0917861856918343E-5</v>
      </c>
    </row>
    <row r="107" spans="1:28" hidden="1" x14ac:dyDescent="0.3">
      <c r="A107" s="1" t="s">
        <v>36</v>
      </c>
      <c r="B107">
        <v>3</v>
      </c>
      <c r="C107" s="1" t="s">
        <v>39</v>
      </c>
      <c r="D107">
        <v>3</v>
      </c>
      <c r="E107" s="1" t="s">
        <v>25</v>
      </c>
      <c r="F107">
        <v>1</v>
      </c>
      <c r="G107">
        <v>66291</v>
      </c>
      <c r="H107">
        <v>66291</v>
      </c>
      <c r="I107">
        <v>66291</v>
      </c>
      <c r="J107">
        <v>66291</v>
      </c>
      <c r="K107">
        <v>1</v>
      </c>
      <c r="L107">
        <v>0.99994205493524446</v>
      </c>
      <c r="M107">
        <v>1.0000000000000002</v>
      </c>
      <c r="N107">
        <v>1</v>
      </c>
      <c r="O107">
        <v>0.99994205493524446</v>
      </c>
      <c r="P107">
        <v>1.0000000000000002</v>
      </c>
      <c r="Q107">
        <v>0</v>
      </c>
      <c r="R107">
        <v>0</v>
      </c>
      <c r="S107">
        <v>-5.7945064755537956E-5</v>
      </c>
      <c r="T107">
        <v>1.3278239181624407E-5</v>
      </c>
      <c r="U107">
        <v>0</v>
      </c>
      <c r="V107">
        <v>0</v>
      </c>
      <c r="W107">
        <f>tFunnel[[#This Row],[reach_rate]] -tFunnel[[#This Row],[reach_rate_lower]]</f>
        <v>5.7945064755537956E-5</v>
      </c>
      <c r="X107">
        <f>tFunnel[[#This Row],[reach_rate_upper]]-tFunnel[[#This Row],[reach_rate]]</f>
        <v>0</v>
      </c>
      <c r="Y107">
        <f>tFunnel[[#This Row],[step_conversion]]-tFunnel[[#This Row],[step_conversion_lower]]</f>
        <v>5.7945064755537956E-5</v>
      </c>
      <c r="Z107" s="1">
        <f>tFunnel[[#This Row],[step_conversion_upper]]-tFunnel[[#This Row],[step_conversion]]</f>
        <v>0</v>
      </c>
      <c r="AA107" s="1">
        <f>tFunnel[[#This Row],[gap_vs_rest]]-tFunnel[[#This Row],[gap_vs_rest_lower]]</f>
        <v>5.7945064755537956E-5</v>
      </c>
      <c r="AB107" s="1">
        <f>tFunnel[[#This Row],[gap_vs_rest_upper]]-tFunnel[[#This Row],[gap_vs_rest]]</f>
        <v>1.3278239181624407E-5</v>
      </c>
    </row>
    <row r="108" spans="1:28" hidden="1" x14ac:dyDescent="0.3">
      <c r="A108" s="1" t="s">
        <v>36</v>
      </c>
      <c r="B108">
        <v>3</v>
      </c>
      <c r="C108" s="1" t="s">
        <v>40</v>
      </c>
      <c r="D108">
        <v>2</v>
      </c>
      <c r="E108" s="1" t="s">
        <v>25</v>
      </c>
      <c r="F108">
        <v>1</v>
      </c>
      <c r="G108">
        <v>84481</v>
      </c>
      <c r="H108">
        <v>84481</v>
      </c>
      <c r="I108">
        <v>84481</v>
      </c>
      <c r="J108">
        <v>84481</v>
      </c>
      <c r="K108">
        <v>1</v>
      </c>
      <c r="L108">
        <v>0.99995453079138275</v>
      </c>
      <c r="M108">
        <v>1.0000000000000002</v>
      </c>
      <c r="N108">
        <v>1</v>
      </c>
      <c r="O108">
        <v>0.99995453079138275</v>
      </c>
      <c r="P108">
        <v>1.0000000000000002</v>
      </c>
      <c r="Q108">
        <v>0</v>
      </c>
      <c r="R108">
        <v>0</v>
      </c>
      <c r="S108">
        <v>-4.5469208617254786E-5</v>
      </c>
      <c r="T108">
        <v>1.4169120586160489E-5</v>
      </c>
      <c r="U108">
        <v>0</v>
      </c>
      <c r="V108">
        <v>0</v>
      </c>
      <c r="W108">
        <f>tFunnel[[#This Row],[reach_rate]] -tFunnel[[#This Row],[reach_rate_lower]]</f>
        <v>4.5469208617254786E-5</v>
      </c>
      <c r="X108">
        <f>tFunnel[[#This Row],[reach_rate_upper]]-tFunnel[[#This Row],[reach_rate]]</f>
        <v>0</v>
      </c>
      <c r="Y108">
        <f>tFunnel[[#This Row],[step_conversion]]-tFunnel[[#This Row],[step_conversion_lower]]</f>
        <v>4.5469208617254786E-5</v>
      </c>
      <c r="Z108" s="1">
        <f>tFunnel[[#This Row],[step_conversion_upper]]-tFunnel[[#This Row],[step_conversion]]</f>
        <v>0</v>
      </c>
      <c r="AA108" s="1">
        <f>tFunnel[[#This Row],[gap_vs_rest]]-tFunnel[[#This Row],[gap_vs_rest_lower]]</f>
        <v>4.5469208617254786E-5</v>
      </c>
      <c r="AB108" s="1">
        <f>tFunnel[[#This Row],[gap_vs_rest_upper]]-tFunnel[[#This Row],[gap_vs_rest]]</f>
        <v>1.4169120586160489E-5</v>
      </c>
    </row>
    <row r="109" spans="1:28" hidden="1" x14ac:dyDescent="0.3">
      <c r="A109" s="1" t="s">
        <v>36</v>
      </c>
      <c r="B109">
        <v>3</v>
      </c>
      <c r="C109" s="1" t="s">
        <v>41</v>
      </c>
      <c r="D109">
        <v>1</v>
      </c>
      <c r="E109" s="1" t="s">
        <v>25</v>
      </c>
      <c r="F109">
        <v>1</v>
      </c>
      <c r="G109">
        <v>196608</v>
      </c>
      <c r="H109">
        <v>196608</v>
      </c>
      <c r="I109">
        <v>196608</v>
      </c>
      <c r="J109">
        <v>196608</v>
      </c>
      <c r="K109">
        <v>1</v>
      </c>
      <c r="L109">
        <v>0.99998046171149824</v>
      </c>
      <c r="M109">
        <v>1.0000000000000002</v>
      </c>
      <c r="N109">
        <v>1</v>
      </c>
      <c r="O109">
        <v>0.99998046171149824</v>
      </c>
      <c r="P109">
        <v>1.0000000000000002</v>
      </c>
      <c r="Q109">
        <v>0</v>
      </c>
      <c r="R109">
        <v>0</v>
      </c>
      <c r="S109">
        <v>-1.9538288501763645E-5</v>
      </c>
      <c r="T109">
        <v>2.4161966387215017E-5</v>
      </c>
      <c r="U109">
        <v>0</v>
      </c>
      <c r="V109">
        <v>0</v>
      </c>
      <c r="W109">
        <f>tFunnel[[#This Row],[reach_rate]] -tFunnel[[#This Row],[reach_rate_lower]]</f>
        <v>1.9538288501763645E-5</v>
      </c>
      <c r="X109">
        <f>tFunnel[[#This Row],[reach_rate_upper]]-tFunnel[[#This Row],[reach_rate]]</f>
        <v>0</v>
      </c>
      <c r="Y109">
        <f>tFunnel[[#This Row],[step_conversion]]-tFunnel[[#This Row],[step_conversion_lower]]</f>
        <v>1.9538288501763645E-5</v>
      </c>
      <c r="Z109" s="1">
        <f>tFunnel[[#This Row],[step_conversion_upper]]-tFunnel[[#This Row],[step_conversion]]</f>
        <v>0</v>
      </c>
      <c r="AA109" s="1">
        <f>tFunnel[[#This Row],[gap_vs_rest]]-tFunnel[[#This Row],[gap_vs_rest_lower]]</f>
        <v>1.9538288501763645E-5</v>
      </c>
      <c r="AB109" s="1">
        <f>tFunnel[[#This Row],[gap_vs_rest_upper]]-tFunnel[[#This Row],[gap_vs_rest]]</f>
        <v>2.4161966387215017E-5</v>
      </c>
    </row>
    <row r="110" spans="1:28" hidden="1" x14ac:dyDescent="0.3">
      <c r="A110" s="1" t="s">
        <v>42</v>
      </c>
      <c r="B110">
        <v>2</v>
      </c>
      <c r="C110" s="1" t="s">
        <v>43</v>
      </c>
      <c r="D110">
        <v>3</v>
      </c>
      <c r="E110" s="1" t="s">
        <v>25</v>
      </c>
      <c r="F110">
        <v>1</v>
      </c>
      <c r="G110">
        <v>7886</v>
      </c>
      <c r="H110">
        <v>7886</v>
      </c>
      <c r="I110">
        <v>7886</v>
      </c>
      <c r="J110">
        <v>7886</v>
      </c>
      <c r="K110">
        <v>1</v>
      </c>
      <c r="L110">
        <v>0.99951311329875037</v>
      </c>
      <c r="M110">
        <v>0.99999999999999978</v>
      </c>
      <c r="N110">
        <v>1</v>
      </c>
      <c r="O110">
        <v>0.99951311329875037</v>
      </c>
      <c r="P110">
        <v>0.99999999999999978</v>
      </c>
      <c r="Q110">
        <v>0</v>
      </c>
      <c r="R110">
        <v>0</v>
      </c>
      <c r="S110">
        <v>-4.8688670124963362E-4</v>
      </c>
      <c r="T110">
        <v>1.1047886551485142E-5</v>
      </c>
      <c r="U110">
        <v>0</v>
      </c>
      <c r="V110">
        <v>0</v>
      </c>
      <c r="W110">
        <f>tFunnel[[#This Row],[reach_rate]] -tFunnel[[#This Row],[reach_rate_lower]]</f>
        <v>4.8688670124963362E-4</v>
      </c>
      <c r="X110">
        <f>tFunnel[[#This Row],[reach_rate_upper]]-tFunnel[[#This Row],[reach_rate]]</f>
        <v>0</v>
      </c>
      <c r="Y110">
        <f>tFunnel[[#This Row],[step_conversion]]-tFunnel[[#This Row],[step_conversion_lower]]</f>
        <v>4.8688670124963362E-4</v>
      </c>
      <c r="Z110" s="1">
        <f>tFunnel[[#This Row],[step_conversion_upper]]-tFunnel[[#This Row],[step_conversion]]</f>
        <v>0</v>
      </c>
      <c r="AA110" s="1">
        <f>tFunnel[[#This Row],[gap_vs_rest]]-tFunnel[[#This Row],[gap_vs_rest_lower]]</f>
        <v>4.8688670124963362E-4</v>
      </c>
      <c r="AB110" s="1">
        <f>tFunnel[[#This Row],[gap_vs_rest_upper]]-tFunnel[[#This Row],[gap_vs_rest]]</f>
        <v>1.1047886551485142E-5</v>
      </c>
    </row>
    <row r="111" spans="1:28" hidden="1" x14ac:dyDescent="0.3">
      <c r="A111" s="1" t="s">
        <v>42</v>
      </c>
      <c r="B111">
        <v>2</v>
      </c>
      <c r="C111" s="1" t="s">
        <v>44</v>
      </c>
      <c r="D111">
        <v>2</v>
      </c>
      <c r="E111" s="1" t="s">
        <v>25</v>
      </c>
      <c r="F111">
        <v>1</v>
      </c>
      <c r="G111">
        <v>141352</v>
      </c>
      <c r="H111">
        <v>141352</v>
      </c>
      <c r="I111">
        <v>141352</v>
      </c>
      <c r="J111">
        <v>141352</v>
      </c>
      <c r="K111">
        <v>1</v>
      </c>
      <c r="L111">
        <v>0.99997282419430511</v>
      </c>
      <c r="M111">
        <v>0.99999999999999978</v>
      </c>
      <c r="N111">
        <v>1</v>
      </c>
      <c r="O111">
        <v>0.99997282419430511</v>
      </c>
      <c r="P111">
        <v>0.99999999999999978</v>
      </c>
      <c r="Q111">
        <v>0</v>
      </c>
      <c r="R111">
        <v>0</v>
      </c>
      <c r="S111">
        <v>-2.7175805694890087E-5</v>
      </c>
      <c r="T111">
        <v>1.7930311812741628E-5</v>
      </c>
      <c r="U111">
        <v>0</v>
      </c>
      <c r="V111">
        <v>0</v>
      </c>
      <c r="W111">
        <f>tFunnel[[#This Row],[reach_rate]] -tFunnel[[#This Row],[reach_rate_lower]]</f>
        <v>2.7175805694890087E-5</v>
      </c>
      <c r="X111">
        <f>tFunnel[[#This Row],[reach_rate_upper]]-tFunnel[[#This Row],[reach_rate]]</f>
        <v>0</v>
      </c>
      <c r="Y111">
        <f>tFunnel[[#This Row],[step_conversion]]-tFunnel[[#This Row],[step_conversion_lower]]</f>
        <v>2.7175805694890087E-5</v>
      </c>
      <c r="Z111" s="1">
        <f>tFunnel[[#This Row],[step_conversion_upper]]-tFunnel[[#This Row],[step_conversion]]</f>
        <v>0</v>
      </c>
      <c r="AA111" s="1">
        <f>tFunnel[[#This Row],[gap_vs_rest]]-tFunnel[[#This Row],[gap_vs_rest_lower]]</f>
        <v>2.7175805694890087E-5</v>
      </c>
      <c r="AB111" s="1">
        <f>tFunnel[[#This Row],[gap_vs_rest_upper]]-tFunnel[[#This Row],[gap_vs_rest]]</f>
        <v>1.7930311812741628E-5</v>
      </c>
    </row>
    <row r="112" spans="1:28" hidden="1" x14ac:dyDescent="0.3">
      <c r="A112" s="1" t="s">
        <v>42</v>
      </c>
      <c r="B112">
        <v>2</v>
      </c>
      <c r="C112" s="1" t="s">
        <v>45</v>
      </c>
      <c r="D112">
        <v>1</v>
      </c>
      <c r="E112" s="1" t="s">
        <v>25</v>
      </c>
      <c r="F112">
        <v>1</v>
      </c>
      <c r="G112">
        <v>206354</v>
      </c>
      <c r="H112">
        <v>206354</v>
      </c>
      <c r="I112">
        <v>206354</v>
      </c>
      <c r="J112">
        <v>206354</v>
      </c>
      <c r="K112">
        <v>1</v>
      </c>
      <c r="L112">
        <v>0.99998138447827245</v>
      </c>
      <c r="M112">
        <v>0.99999999999999978</v>
      </c>
      <c r="N112">
        <v>1</v>
      </c>
      <c r="O112">
        <v>0.99998138447827245</v>
      </c>
      <c r="P112">
        <v>0.99999999999999978</v>
      </c>
      <c r="Q112">
        <v>0</v>
      </c>
      <c r="R112">
        <v>0</v>
      </c>
      <c r="S112">
        <v>-1.8615521727549655E-5</v>
      </c>
      <c r="T112">
        <v>2.5739824996429128E-5</v>
      </c>
      <c r="U112">
        <v>0</v>
      </c>
      <c r="V112">
        <v>0</v>
      </c>
      <c r="W112">
        <f>tFunnel[[#This Row],[reach_rate]] -tFunnel[[#This Row],[reach_rate_lower]]</f>
        <v>1.8615521727549655E-5</v>
      </c>
      <c r="X112">
        <f>tFunnel[[#This Row],[reach_rate_upper]]-tFunnel[[#This Row],[reach_rate]]</f>
        <v>0</v>
      </c>
      <c r="Y112">
        <f>tFunnel[[#This Row],[step_conversion]]-tFunnel[[#This Row],[step_conversion_lower]]</f>
        <v>1.8615521727549655E-5</v>
      </c>
      <c r="Z112" s="1">
        <f>tFunnel[[#This Row],[step_conversion_upper]]-tFunnel[[#This Row],[step_conversion]]</f>
        <v>0</v>
      </c>
      <c r="AA112" s="1">
        <f>tFunnel[[#This Row],[gap_vs_rest]]-tFunnel[[#This Row],[gap_vs_rest_lower]]</f>
        <v>1.8615521727549655E-5</v>
      </c>
      <c r="AB112" s="1">
        <f>tFunnel[[#This Row],[gap_vs_rest_upper]]-tFunnel[[#This Row],[gap_vs_rest]]</f>
        <v>2.5739824996429128E-5</v>
      </c>
    </row>
    <row r="113" spans="1:28" x14ac:dyDescent="0.3">
      <c r="A113" s="1" t="s">
        <v>46</v>
      </c>
      <c r="B113">
        <v>1</v>
      </c>
      <c r="C113" s="1" t="s">
        <v>47</v>
      </c>
      <c r="D113">
        <v>0</v>
      </c>
      <c r="E113" s="1" t="s">
        <v>25</v>
      </c>
      <c r="F113">
        <v>1</v>
      </c>
      <c r="G113">
        <v>355592</v>
      </c>
      <c r="H113">
        <v>355592</v>
      </c>
      <c r="I113">
        <v>355592</v>
      </c>
      <c r="J113">
        <v>355592</v>
      </c>
      <c r="K113">
        <v>1</v>
      </c>
      <c r="L113">
        <v>0.99998919712090684</v>
      </c>
      <c r="M113">
        <v>1</v>
      </c>
      <c r="N113">
        <v>1</v>
      </c>
      <c r="O113">
        <v>0.99998919712090684</v>
      </c>
      <c r="P113">
        <v>1</v>
      </c>
      <c r="Q113">
        <v>0</v>
      </c>
      <c r="U113">
        <v>0</v>
      </c>
      <c r="V113">
        <v>0</v>
      </c>
      <c r="W113">
        <f>tFunnel[[#This Row],[reach_rate]] -tFunnel[[#This Row],[reach_rate_lower]]</f>
        <v>1.0802879093163575E-5</v>
      </c>
      <c r="X113">
        <f>tFunnel[[#This Row],[reach_rate_upper]]-tFunnel[[#This Row],[reach_rate]]</f>
        <v>0</v>
      </c>
      <c r="Y113">
        <f>tFunnel[[#This Row],[step_conversion]]-tFunnel[[#This Row],[step_conversion_lower]]</f>
        <v>1.0802879093163575E-5</v>
      </c>
      <c r="Z113" s="1">
        <f>tFunnel[[#This Row],[step_conversion_upper]]-tFunnel[[#This Row],[step_conversion]]</f>
        <v>0</v>
      </c>
      <c r="AA113" s="1">
        <f>tFunnel[[#This Row],[gap_vs_rest]]-tFunnel[[#This Row],[gap_vs_rest_lower]]</f>
        <v>0</v>
      </c>
      <c r="AB113" s="1">
        <f>tFunnel[[#This Row],[gap_vs_rest_upper]]-tFunnel[[#This Row],[gap_vs_rest]]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B211-C5D3-4A8D-AAC1-3A6B73738411}">
  <dimension ref="A1:AW16"/>
  <sheetViews>
    <sheetView topLeftCell="AI1" workbookViewId="0">
      <selection activeCell="AV2" activeCellId="1" sqref="AU2:AU13 AV2:AW13"/>
    </sheetView>
  </sheetViews>
  <sheetFormatPr defaultRowHeight="16.5" x14ac:dyDescent="0.3"/>
  <cols>
    <col min="1" max="1" width="20.75" bestFit="1" customWidth="1"/>
    <col min="2" max="2" width="19" bestFit="1" customWidth="1"/>
    <col min="3" max="3" width="18.25" bestFit="1" customWidth="1"/>
    <col min="4" max="4" width="15" bestFit="1" customWidth="1"/>
    <col min="5" max="5" width="9.375" bestFit="1" customWidth="1"/>
    <col min="6" max="6" width="14.875" bestFit="1" customWidth="1"/>
    <col min="7" max="7" width="15.125" bestFit="1" customWidth="1"/>
    <col min="8" max="8" width="14.125" bestFit="1" customWidth="1"/>
    <col min="9" max="9" width="19.625" bestFit="1" customWidth="1"/>
    <col min="10" max="10" width="19.875" bestFit="1" customWidth="1"/>
    <col min="11" max="11" width="17.125" bestFit="1" customWidth="1"/>
    <col min="12" max="12" width="13.5" bestFit="1" customWidth="1"/>
    <col min="13" max="13" width="11.875" bestFit="1" customWidth="1"/>
    <col min="14" max="14" width="14.75" bestFit="1" customWidth="1"/>
    <col min="16" max="16" width="16.25" bestFit="1" customWidth="1"/>
    <col min="18" max="18" width="14.375" bestFit="1" customWidth="1"/>
    <col min="19" max="19" width="13.25" bestFit="1" customWidth="1"/>
    <col min="20" max="20" width="15.5" bestFit="1" customWidth="1"/>
    <col min="21" max="21" width="11.875" bestFit="1" customWidth="1"/>
    <col min="22" max="22" width="14.875" bestFit="1" customWidth="1"/>
    <col min="23" max="23" width="15.125" bestFit="1" customWidth="1"/>
    <col min="24" max="24" width="13" bestFit="1" customWidth="1"/>
    <col min="25" max="25" width="15.75" bestFit="1" customWidth="1"/>
    <col min="26" max="26" width="16" bestFit="1" customWidth="1"/>
    <col min="27" max="27" width="14" bestFit="1" customWidth="1"/>
    <col min="28" max="28" width="12.75" bestFit="1" customWidth="1"/>
    <col min="29" max="29" width="11.25" bestFit="1" customWidth="1"/>
    <col min="30" max="34" width="11.875" bestFit="1" customWidth="1"/>
    <col min="35" max="35" width="10" bestFit="1" customWidth="1"/>
    <col min="36" max="36" width="7.5" bestFit="1" customWidth="1"/>
    <col min="37" max="39" width="11.875" bestFit="1" customWidth="1"/>
    <col min="41" max="41" width="27" bestFit="1" customWidth="1"/>
    <col min="42" max="42" width="14.25" bestFit="1" customWidth="1"/>
    <col min="43" max="43" width="15.375" bestFit="1" customWidth="1"/>
    <col min="44" max="44" width="12.5" bestFit="1" customWidth="1"/>
    <col min="45" max="45" width="11.875" bestFit="1" customWidth="1"/>
    <col min="46" max="46" width="6" bestFit="1" customWidth="1"/>
    <col min="47" max="47" width="20.5" bestFit="1" customWidth="1"/>
    <col min="48" max="49" width="11.875" bestFit="1" customWidth="1"/>
  </cols>
  <sheetData>
    <row r="1" spans="1:49" x14ac:dyDescent="0.3">
      <c r="A1" t="s">
        <v>5</v>
      </c>
      <c r="B1" t="s">
        <v>4</v>
      </c>
      <c r="C1" t="s">
        <v>133</v>
      </c>
      <c r="D1" t="s">
        <v>7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125</v>
      </c>
      <c r="M1" t="s">
        <v>126</v>
      </c>
      <c r="N1" t="s">
        <v>145</v>
      </c>
      <c r="P1" t="s">
        <v>153</v>
      </c>
      <c r="R1" t="s">
        <v>0</v>
      </c>
      <c r="S1" t="s">
        <v>2</v>
      </c>
      <c r="T1" t="s">
        <v>6</v>
      </c>
      <c r="U1" t="s">
        <v>10</v>
      </c>
      <c r="V1" t="s">
        <v>11</v>
      </c>
      <c r="W1" t="s">
        <v>12</v>
      </c>
      <c r="X1" t="s">
        <v>17</v>
      </c>
      <c r="Y1" t="s">
        <v>18</v>
      </c>
      <c r="Z1" t="s">
        <v>19</v>
      </c>
      <c r="AA1" t="s">
        <v>20</v>
      </c>
      <c r="AB1" t="s">
        <v>127</v>
      </c>
      <c r="AC1" t="s">
        <v>128</v>
      </c>
      <c r="AD1" t="s">
        <v>155</v>
      </c>
      <c r="AE1" t="s">
        <v>156</v>
      </c>
      <c r="AF1" t="s">
        <v>157</v>
      </c>
      <c r="AG1" t="s">
        <v>158</v>
      </c>
      <c r="AI1" t="s">
        <v>49</v>
      </c>
      <c r="AJ1" t="s">
        <v>25</v>
      </c>
      <c r="AK1" t="s">
        <v>147</v>
      </c>
      <c r="AL1" t="s">
        <v>129</v>
      </c>
      <c r="AM1" t="s">
        <v>130</v>
      </c>
      <c r="AO1" t="s">
        <v>167</v>
      </c>
      <c r="AP1" t="s">
        <v>76</v>
      </c>
      <c r="AQ1" t="s">
        <v>168</v>
      </c>
      <c r="AR1" t="s">
        <v>131</v>
      </c>
      <c r="AS1" t="s">
        <v>132</v>
      </c>
      <c r="AT1" t="s">
        <v>169</v>
      </c>
      <c r="AU1" t="s">
        <v>133</v>
      </c>
      <c r="AV1" t="s">
        <v>170</v>
      </c>
      <c r="AW1" t="s">
        <v>171</v>
      </c>
    </row>
    <row r="2" spans="1:49" x14ac:dyDescent="0.3">
      <c r="A2" cm="1">
        <f t="array" ref="A2:A8">_xlfn.SEQUENCE(7,,1,1)</f>
        <v>1</v>
      </c>
      <c r="B2" t="str" cm="1">
        <f t="array" ref="B2">_xlfn.XLOOKUP(1,(tFunnel[segment_type]="overall")*(tFunnel[step_sort]=$A2),tFunnel[step])</f>
        <v>sessions</v>
      </c>
      <c r="C2" t="str" cm="1">
        <f t="array" ref="C2">_xlfn.SWITCH(B2,"sessions","All sessions","view_item","Viewed a product","add_to_cart","Added to cart","begin_checkout","Began checkout","add_shipping_info","Added shipping info","add_payment_info","Added payment info","purchase","Purchased")</f>
        <v>All sessions</v>
      </c>
      <c r="D2" s="4" cm="1">
        <f t="array" ref="D2">_xlfn.XLOOKUP(1,(tFunnel[[segment_type]:[segment_type]]="overall")*(tFunnel[[step_sort]:[step_sort]]=$A2),INDEX(tFunnel[],0,MATCH(D$1,tFunnel[#Headers],0)))</f>
        <v>355592</v>
      </c>
      <c r="E2" s="3" cm="1">
        <f t="array" ref="E2">_xlfn.XLOOKUP(1,(tFunnel[[segment_type]:[segment_type]]="overall")*(tFunnel[[step_sort]:[step_sort]]=$A2),INDEX(tFunnel[],0,MATCH(E$1,tFunnel[#Headers],0)))</f>
        <v>1</v>
      </c>
      <c r="F2" s="3" cm="1">
        <f t="array" ref="F2">_xlfn.XLOOKUP(1,(tFunnel[[segment_type]:[segment_type]]="overall")*(tFunnel[[step_sort]:[step_sort]]=$A2),INDEX(tFunnel[],0,MATCH(F$1,tFunnel[#Headers],0)))</f>
        <v>0.99998919712090684</v>
      </c>
      <c r="G2" s="3" cm="1">
        <f t="array" ref="G2">_xlfn.XLOOKUP(1,(tFunnel[[segment_type]:[segment_type]]="overall")*(tFunnel[[step_sort]:[step_sort]]=$A2),INDEX(tFunnel[],0,MATCH(G$1,tFunnel[#Headers],0)))</f>
        <v>1</v>
      </c>
      <c r="H2" s="3" cm="1">
        <f t="array" ref="H2">_xlfn.XLOOKUP(1,(tFunnel[[segment_type]:[segment_type]]="overall")*(tFunnel[[step_sort]:[step_sort]]=$A2),INDEX(tFunnel[],0,MATCH(H$1,tFunnel[#Headers],0)))</f>
        <v>1</v>
      </c>
      <c r="I2" s="3" cm="1">
        <f t="array" ref="I2">_xlfn.XLOOKUP(1,(tFunnel[[segment_type]:[segment_type]]="overall")*(tFunnel[[step_sort]:[step_sort]]=$A2),INDEX(tFunnel[],0,MATCH(I$1,tFunnel[#Headers],0)))</f>
        <v>0.99998919712090684</v>
      </c>
      <c r="J2" s="3" cm="1">
        <f t="array" ref="J2">_xlfn.XLOOKUP(1,(tFunnel[[segment_type]:[segment_type]]="overall")*(tFunnel[[step_sort]:[step_sort]]=$A2),INDEX(tFunnel[],0,MATCH(J$1,tFunnel[#Headers],0)))</f>
        <v>1</v>
      </c>
      <c r="K2" s="3" cm="1">
        <f t="array" ref="K2">_xlfn.XLOOKUP(1,(tFunnel[[segment_type]:[segment_type]]="overall")*(tFunnel[[step_sort]:[step_sort]]=$A2),INDEX(tFunnel[],0,MATCH(K$1,tFunnel[#Headers],0)))</f>
        <v>0</v>
      </c>
      <c r="L2" s="3" cm="1">
        <f t="array" ref="L2">_xlfn.XLOOKUP(1,(tFunnel[[segment_type]:[segment_type]]="overall")*(tFunnel[[step_sort]:[step_sort]]=$A2),INDEX(tFunnel[],0,MATCH(L$1,tFunnel[#Headers],0)))</f>
        <v>1.0802879093163575E-5</v>
      </c>
      <c r="M2" s="3" cm="1">
        <f t="array" ref="M2">_xlfn.XLOOKUP(1,(tFunnel[[segment_type]:[segment_type]]="overall")*(tFunnel[[step_sort]:[step_sort]]=$A2),INDEX(tFunnel[],0,MATCH(M$1,tFunnel[#Headers],0)))</f>
        <v>0</v>
      </c>
      <c r="N2" t="str">
        <f>TEXT(D2,"#,##0")&amp;"   "&amp;TEXT(E2,"0.0%")</f>
        <v>355,592   100.0%</v>
      </c>
      <c r="P2" t="s">
        <v>25</v>
      </c>
      <c r="R2" t="str" cm="1">
        <f t="array" ref="R2:AA16">_xlfn.LET(_xlpm.sel,'2 Leaks'!$C$5,
 _xlpm.src,tFunnel[[segment_type]:[is_thin_segment]],
 _xlpm.rows,_xlfn._xlws.FILTER(_xlpm.src,(tFunnel[step]=_xlpm.sel)*(tFunnel[segment_type]&lt;&gt;"overall")),
 _xlpm.sorted,_xlfn.SORTBY(_xlpm.rows,INDEX(_xlpm.rows,,2),1,INDEX(_xlpm.rows,,4),1),
 INDEX(_xlpm.sorted,_xlfn.SEQUENCE(ROWS(_xlpm.sorted)),{1,3,7,11,12,13,18,19,20,21}))</f>
        <v>device_category</v>
      </c>
      <c r="S2" t="str">
        <v>desktop</v>
      </c>
      <c r="T2" s="40">
        <v>206354</v>
      </c>
      <c r="U2" s="6">
        <v>1.3268460994213827E-2</v>
      </c>
      <c r="V2" s="6">
        <v>1.2783756507450894E-2</v>
      </c>
      <c r="W2" s="6">
        <v>1.3771287004056301E-2</v>
      </c>
      <c r="X2" s="6">
        <v>-8.3652567138072648E-4</v>
      </c>
      <c r="Y2" s="6">
        <v>-1.6163709664855485E-3</v>
      </c>
      <c r="Z2" s="6">
        <v>-6.4439339585754601E-5</v>
      </c>
      <c r="AA2">
        <v>0</v>
      </c>
      <c r="AB2" cm="1">
        <f t="array" ref="AB2:AB16">INDEX(_xlfn.ANCHORARRAY(R2),,7)-INDEX(_xlfn.ANCHORARRAY(R2),,8)</f>
        <v>7.7984529510482202E-4</v>
      </c>
      <c r="AC2" cm="1">
        <f t="array" ref="AC2:AC16">INDEX(_xlfn.ANCHORARRAY(R2),,9)-INDEX(_xlfn.ANCHORARRAY(R2),,7)</f>
        <v>7.7208633179497188E-4</v>
      </c>
      <c r="AD2" t="str" cm="1">
        <f t="array" ref="AD2">IF(R2=R1,"",_xlfn.SWITCH(R2,"device_category","Device","continent","Continent","channel","Channel"))</f>
        <v>Device</v>
      </c>
      <c r="AE2" t="str">
        <f>S2&amp;IF(AA2=1," (thin)","")</f>
        <v>desktop</v>
      </c>
      <c r="AF2" s="6">
        <f>IF(OR(Y2&gt;0,Z2&lt;0),X2,NA())</f>
        <v>-8.3652567138072648E-4</v>
      </c>
      <c r="AG2" s="6" t="e">
        <f>IF(OR(Y2&gt;0,Z2&lt;0),NA(),X2)</f>
        <v>#N/A</v>
      </c>
      <c r="AI2" t="str" cm="1">
        <f t="array" ref="AI2:AM14">_xlfn.LET(_xlpm.keep,tWeekly[is_partial_week]=0,
 _xlpm.r,_xlfn.SORTBY(_xlfn._xlws.FILTER(tWeekly[],_xlpm.keep),_xlfn._xlws.FILTER(tWeekly[week_sort],_xlpm.keep),1),
 INDEX(_xlpm.r,_xlfn.SEQUENCE(ROWS(_xlpm.r)),{2,6,11,14,15}))</f>
        <v>02 Nov</v>
      </c>
      <c r="AJ2">
        <v>24630</v>
      </c>
      <c r="AK2" s="6">
        <v>1.0109622411693057E-2</v>
      </c>
      <c r="AL2" s="6">
        <v>1.1751708938451365E-3</v>
      </c>
      <c r="AM2" s="6">
        <v>1.3279601975344779E-3</v>
      </c>
      <c r="AO2" t="str" cm="1">
        <f t="array" ref="AO2:AT13">_xlfn.LET(_xlpm.r,_xlfn.SORTBY(tProduct[],tProduct[category_sort],1),
 INDEX(_xlpm.r,_xlfn.SEQUENCE(12),{1,3,12,16,17,15}))</f>
        <v>home/apparel/men's / unisex/</v>
      </c>
      <c r="AP2">
        <v>32904</v>
      </c>
      <c r="AQ2">
        <v>5.0480184779965964E-2</v>
      </c>
      <c r="AR2">
        <v>0</v>
      </c>
      <c r="AS2">
        <v>2.3135420362125833E-3</v>
      </c>
      <c r="AT2">
        <v>0</v>
      </c>
      <c r="AU2" t="str">
        <f>_xlfn.LET(_xlpm.c,IF(LEFT(AO2,5)="home/",MID(AO2,6,99),AO2),IF(RIGHT(_xlpm.c,1)="/",LEFT(_xlpm.c,LEN(_xlpm.c)-1),_xlpm.c))&amp;IF(AT2=1," (thin)","")</f>
        <v>apparel/men's / unisex</v>
      </c>
      <c r="AV2">
        <f>IF(ROW()=2,AQ2,NA())</f>
        <v>5.0480184779965964E-2</v>
      </c>
      <c r="AW2" t="e">
        <f>IF(ROW()=2,NA(),AQ2)</f>
        <v>#N/A</v>
      </c>
    </row>
    <row r="3" spans="1:49" x14ac:dyDescent="0.3">
      <c r="A3">
        <v>2</v>
      </c>
      <c r="B3" t="str" cm="1">
        <f t="array" ref="B3">_xlfn.XLOOKUP(1,(tFunnel[segment_type]="overall")*(tFunnel[step_sort]=$A3),tFunnel[step])</f>
        <v>view_item</v>
      </c>
      <c r="C3" t="str" cm="1">
        <f t="array" ref="C3">_xlfn.SWITCH(B3,"sessions","All sessions","view_item","Viewed a product","add_to_cart","Added to cart","begin_checkout","Began checkout","add_shipping_info","Added shipping info","add_payment_info","Added payment info","purchase","Purchased")</f>
        <v>Viewed a product</v>
      </c>
      <c r="D3" s="4" cm="1">
        <f t="array" ref="D3">_xlfn.XLOOKUP(1,(tFunnel[[segment_type]:[segment_type]]="overall")*(tFunnel[[step_sort]:[step_sort]]=$A3),INDEX(tFunnel[],0,MATCH(D$1,tFunnel[#Headers],0)))</f>
        <v>76533</v>
      </c>
      <c r="E3" s="3" cm="1">
        <f t="array" ref="E3">_xlfn.XLOOKUP(1,(tFunnel[[segment_type]:[segment_type]]="overall")*(tFunnel[[step_sort]:[step_sort]]=$A3),INDEX(tFunnel[],0,MATCH(E$1,tFunnel[#Headers],0)))</f>
        <v>0.21522700173232243</v>
      </c>
      <c r="F3" s="3" cm="1">
        <f t="array" ref="F3">_xlfn.XLOOKUP(1,(tFunnel[[segment_type]:[segment_type]]="overall")*(tFunnel[[step_sort]:[step_sort]]=$A3),INDEX(tFunnel[],0,MATCH(F$1,tFunnel[#Headers],0)))</f>
        <v>0.21387927736713558</v>
      </c>
      <c r="G3" s="3" cm="1">
        <f t="array" ref="G3">_xlfn.XLOOKUP(1,(tFunnel[[segment_type]:[segment_type]]="overall")*(tFunnel[[step_sort]:[step_sort]]=$A3),INDEX(tFunnel[],0,MATCH(G$1,tFunnel[#Headers],0)))</f>
        <v>0.21658087883404784</v>
      </c>
      <c r="H3" s="3" cm="1">
        <f t="array" ref="H3">_xlfn.XLOOKUP(1,(tFunnel[[segment_type]:[segment_type]]="overall")*(tFunnel[[step_sort]:[step_sort]]=$A3),INDEX(tFunnel[],0,MATCH(H$1,tFunnel[#Headers],0)))</f>
        <v>0.21522700173232243</v>
      </c>
      <c r="I3" s="3" cm="1">
        <f t="array" ref="I3">_xlfn.XLOOKUP(1,(tFunnel[[segment_type]:[segment_type]]="overall")*(tFunnel[[step_sort]:[step_sort]]=$A3),INDEX(tFunnel[],0,MATCH(I$1,tFunnel[#Headers],0)))</f>
        <v>0.21387927736713558</v>
      </c>
      <c r="J3" s="3" cm="1">
        <f t="array" ref="J3">_xlfn.XLOOKUP(1,(tFunnel[[segment_type]:[segment_type]]="overall")*(tFunnel[[step_sort]:[step_sort]]=$A3),INDEX(tFunnel[],0,MATCH(J$1,tFunnel[#Headers],0)))</f>
        <v>0.21658087883404784</v>
      </c>
      <c r="K3" s="3" cm="1">
        <f t="array" ref="K3">_xlfn.XLOOKUP(1,(tFunnel[[segment_type]:[segment_type]]="overall")*(tFunnel[[step_sort]:[step_sort]]=$A3),INDEX(tFunnel[],0,MATCH(K$1,tFunnel[#Headers],0)))</f>
        <v>0</v>
      </c>
      <c r="L3" s="3" cm="1">
        <f t="array" ref="L3">_xlfn.XLOOKUP(1,(tFunnel[[segment_type]:[segment_type]]="overall")*(tFunnel[[step_sort]:[step_sort]]=$A3),INDEX(tFunnel[],0,MATCH(L$1,tFunnel[#Headers],0)))</f>
        <v>1.3477243651868476E-3</v>
      </c>
      <c r="M3" s="3" cm="1">
        <f t="array" ref="M3">_xlfn.XLOOKUP(1,(tFunnel[[segment_type]:[segment_type]]="overall")*(tFunnel[[step_sort]:[step_sort]]=$A3),INDEX(tFunnel[],0,MATCH(M$1,tFunnel[#Headers],0)))</f>
        <v>1.3538771017254092E-3</v>
      </c>
      <c r="N3" t="str">
        <f t="shared" ref="N3:N8" si="0">TEXT(D3,"#,##0")&amp;"   "&amp;TEXT(E3,"0.0%")</f>
        <v>76,533   21.5%</v>
      </c>
      <c r="P3" t="s">
        <v>29</v>
      </c>
      <c r="R3" t="str">
        <v>device_category</v>
      </c>
      <c r="S3" t="str">
        <v>mobile</v>
      </c>
      <c r="T3" s="40">
        <v>141352</v>
      </c>
      <c r="U3" s="6">
        <v>1.4177372799818892E-2</v>
      </c>
      <c r="V3" s="6">
        <v>1.3574139246163613E-2</v>
      </c>
      <c r="W3" s="6">
        <v>1.480701159611192E-2</v>
      </c>
      <c r="X3" s="6">
        <v>9.2587914783980388E-4</v>
      </c>
      <c r="Y3" s="6">
        <v>1.4680848253679634E-4</v>
      </c>
      <c r="Z3" s="6">
        <v>1.7149285374798593E-3</v>
      </c>
      <c r="AA3">
        <v>0</v>
      </c>
      <c r="AB3">
        <v>7.7907066530300754E-4</v>
      </c>
      <c r="AC3">
        <v>7.8904938964005546E-4</v>
      </c>
      <c r="AD3" t="str" cm="1">
        <f t="array" ref="AD3">IF(R3=R2,"",_xlfn.SWITCH(R3,"device_category","Device","continent","Continent","channel","Channel"))</f>
        <v/>
      </c>
      <c r="AE3" t="str">
        <f t="shared" ref="AE3:AE16" si="1">S3&amp;IF(AA3=1," (thin)","")</f>
        <v>mobile</v>
      </c>
      <c r="AF3" s="6">
        <f t="shared" ref="AF3:AF16" si="2">IF(OR(Y3&gt;0,Z3&lt;0),X3,NA())</f>
        <v>9.2587914783980388E-4</v>
      </c>
      <c r="AG3" s="6" t="e">
        <f t="shared" ref="AG3:AG16" si="3">IF(OR(Y3&gt;0,Z3&lt;0),NA(),X3)</f>
        <v>#N/A</v>
      </c>
      <c r="AI3" t="str">
        <v>09 Nov</v>
      </c>
      <c r="AJ3">
        <v>22177</v>
      </c>
      <c r="AK3" s="6">
        <v>1.5376290751679669E-2</v>
      </c>
      <c r="AL3" s="6">
        <v>1.5375154423239289E-3</v>
      </c>
      <c r="AM3" s="6">
        <v>1.7053776089085201E-3</v>
      </c>
      <c r="AO3" t="str">
        <v>home/apparel/hats/</v>
      </c>
      <c r="AP3">
        <v>22236</v>
      </c>
      <c r="AQ3">
        <v>2.6083828026623495E-2</v>
      </c>
      <c r="AR3">
        <v>0</v>
      </c>
      <c r="AS3">
        <v>2.0144730668028819E-3</v>
      </c>
      <c r="AT3">
        <v>0</v>
      </c>
      <c r="AU3" t="str">
        <f t="shared" ref="AU3:AU13" si="4">_xlfn.LET(_xlpm.c,IF(LEFT(AO3,5)="home/",MID(AO3,6,99),AO3),IF(RIGHT(_xlpm.c,1)="/",LEFT(_xlpm.c,LEN(_xlpm.c)-1),_xlpm.c))&amp;IF(AT3=1," (thin)","")</f>
        <v>apparel/hats</v>
      </c>
      <c r="AV3" t="e">
        <f t="shared" ref="AV3:AV13" si="5">IF(ROW()=2,AQ3,NA())</f>
        <v>#N/A</v>
      </c>
      <c r="AW3">
        <f t="shared" ref="AW3:AW13" si="6">IF(ROW()=2,NA(),AQ3)</f>
        <v>2.6083828026623495E-2</v>
      </c>
    </row>
    <row r="4" spans="1:49" x14ac:dyDescent="0.3">
      <c r="A4">
        <v>3</v>
      </c>
      <c r="B4" t="str" cm="1">
        <f t="array" ref="B4">_xlfn.XLOOKUP(1,(tFunnel[segment_type]="overall")*(tFunnel[step_sort]=$A4),tFunnel[step])</f>
        <v>add_to_cart</v>
      </c>
      <c r="C4" t="str" cm="1">
        <f t="array" ref="C4">_xlfn.SWITCH(B4,"sessions","All sessions","view_item","Viewed a product","add_to_cart","Added to cart","begin_checkout","Began checkout","add_shipping_info","Added shipping info","add_payment_info","Added payment info","purchase","Purchased")</f>
        <v>Added to cart</v>
      </c>
      <c r="D4" s="4" cm="1">
        <f t="array" ref="D4">_xlfn.XLOOKUP(1,(tFunnel[[segment_type]:[segment_type]]="overall")*(tFunnel[[step_sort]:[step_sort]]=$A4),INDEX(tFunnel[],0,MATCH(D$1,tFunnel[#Headers],0)))</f>
        <v>15106</v>
      </c>
      <c r="E4" s="3" cm="1">
        <f t="array" ref="E4">_xlfn.XLOOKUP(1,(tFunnel[[segment_type]:[segment_type]]="overall")*(tFunnel[[step_sort]:[step_sort]]=$A4),INDEX(tFunnel[],0,MATCH(E$1,tFunnel[#Headers],0)))</f>
        <v>4.2481270669756349E-2</v>
      </c>
      <c r="F4" s="3" cm="1">
        <f t="array" ref="F4">_xlfn.XLOOKUP(1,(tFunnel[[segment_type]:[segment_type]]="overall")*(tFunnel[[step_sort]:[step_sort]]=$A4),INDEX(tFunnel[],0,MATCH(F$1,tFunnel[#Headers],0)))</f>
        <v>4.1823303728467896E-2</v>
      </c>
      <c r="G4" s="3" cm="1">
        <f t="array" ref="G4">_xlfn.XLOOKUP(1,(tFunnel[[segment_type]:[segment_type]]="overall")*(tFunnel[[step_sort]:[step_sort]]=$A4),INDEX(tFunnel[],0,MATCH(G$1,tFunnel[#Headers],0)))</f>
        <v>4.3149122650076387E-2</v>
      </c>
      <c r="H4" s="3" cm="1">
        <f t="array" ref="H4">_xlfn.XLOOKUP(1,(tFunnel[[segment_type]:[segment_type]]="overall")*(tFunnel[[step_sort]:[step_sort]]=$A4),INDEX(tFunnel[],0,MATCH(H$1,tFunnel[#Headers],0)))</f>
        <v>0.19716984830073303</v>
      </c>
      <c r="I4" s="3" cm="1">
        <f t="array" ref="I4">_xlfn.XLOOKUP(1,(tFunnel[[segment_type]:[segment_type]]="overall")*(tFunnel[[step_sort]:[step_sort]]=$A4),INDEX(tFunnel[],0,MATCH(I$1,tFunnel[#Headers],0)))</f>
        <v>0.19436633223582933</v>
      </c>
      <c r="J4" s="3" cm="1">
        <f t="array" ref="J4">_xlfn.XLOOKUP(1,(tFunnel[[segment_type]:[segment_type]]="overall")*(tFunnel[[step_sort]:[step_sort]]=$A4),INDEX(tFunnel[],0,MATCH(J$1,tFunnel[#Headers],0)))</f>
        <v>0.20000376304824746</v>
      </c>
      <c r="K4" s="3" cm="1">
        <f t="array" ref="K4">_xlfn.XLOOKUP(1,(tFunnel[[segment_type]:[segment_type]]="overall")*(tFunnel[[step_sort]:[step_sort]]=$A4),INDEX(tFunnel[],0,MATCH(K$1,tFunnel[#Headers],0)))</f>
        <v>1.0591817820733483E-3</v>
      </c>
      <c r="L4" s="3" cm="1">
        <f t="array" ref="L4">_xlfn.XLOOKUP(1,(tFunnel[[segment_type]:[segment_type]]="overall")*(tFunnel[[step_sort]:[step_sort]]=$A4),INDEX(tFunnel[],0,MATCH(L$1,tFunnel[#Headers],0)))</f>
        <v>2.8035160649036994E-3</v>
      </c>
      <c r="M4" s="3" cm="1">
        <f t="array" ref="M4">_xlfn.XLOOKUP(1,(tFunnel[[segment_type]:[segment_type]]="overall")*(tFunnel[[step_sort]:[step_sort]]=$A4),INDEX(tFunnel[],0,MATCH(M$1,tFunnel[#Headers],0)))</f>
        <v>2.8339147475144322E-3</v>
      </c>
      <c r="N4" t="str">
        <f t="shared" si="0"/>
        <v>15,106   4.2%</v>
      </c>
      <c r="P4" t="s">
        <v>30</v>
      </c>
      <c r="R4" t="str">
        <v>device_category</v>
      </c>
      <c r="S4" t="str">
        <v>tablet</v>
      </c>
      <c r="T4" s="40">
        <v>7886</v>
      </c>
      <c r="U4" s="6">
        <v>1.2807506974384986E-2</v>
      </c>
      <c r="V4" s="6">
        <v>1.0552284555670151E-2</v>
      </c>
      <c r="W4" s="6">
        <v>1.5537144484705312E-2</v>
      </c>
      <c r="X4" s="6">
        <v>-8.3045153078892611E-4</v>
      </c>
      <c r="Y4" s="6">
        <v>-3.1193038531102139E-3</v>
      </c>
      <c r="Z4" s="6">
        <v>1.9255330823575237E-3</v>
      </c>
      <c r="AA4">
        <v>0</v>
      </c>
      <c r="AB4">
        <v>2.2888523223212878E-3</v>
      </c>
      <c r="AC4">
        <v>2.7559846131464498E-3</v>
      </c>
      <c r="AD4" t="str" cm="1">
        <f t="array" ref="AD4">IF(R4=R3,"",_xlfn.SWITCH(R4,"device_category","Device","continent","Continent","channel","Channel"))</f>
        <v/>
      </c>
      <c r="AE4" t="str">
        <f t="shared" si="1"/>
        <v>tablet</v>
      </c>
      <c r="AF4" s="6" t="e">
        <f>IF(OR(Y4&gt;0,Z4&lt;0),X4,NA())</f>
        <v>#N/A</v>
      </c>
      <c r="AG4" s="6">
        <f t="shared" si="3"/>
        <v>-8.3045153078892611E-4</v>
      </c>
      <c r="AI4" t="str">
        <v>16 Nov</v>
      </c>
      <c r="AJ4">
        <v>25488</v>
      </c>
      <c r="AK4" s="6">
        <v>1.4634337727558067E-2</v>
      </c>
      <c r="AL4" s="6">
        <v>1.4027915529616838E-3</v>
      </c>
      <c r="AM4" s="6">
        <v>1.5490746088185972E-3</v>
      </c>
      <c r="AO4" t="str">
        <v>home/sale/</v>
      </c>
      <c r="AP4">
        <v>21802</v>
      </c>
      <c r="AQ4">
        <v>2.9079900926520501E-2</v>
      </c>
      <c r="AR4">
        <v>0</v>
      </c>
      <c r="AS4">
        <v>2.1488132469655967E-3</v>
      </c>
      <c r="AT4">
        <v>0</v>
      </c>
      <c r="AU4" t="str">
        <f t="shared" si="4"/>
        <v>sale</v>
      </c>
      <c r="AV4" t="e">
        <f t="shared" si="5"/>
        <v>#N/A</v>
      </c>
      <c r="AW4">
        <f t="shared" si="6"/>
        <v>2.9079900926520501E-2</v>
      </c>
    </row>
    <row r="5" spans="1:49" x14ac:dyDescent="0.3">
      <c r="A5">
        <v>4</v>
      </c>
      <c r="B5" t="str" cm="1">
        <f t="array" ref="B5">_xlfn.XLOOKUP(1,(tFunnel[segment_type]="overall")*(tFunnel[step_sort]=$A5),tFunnel[step])</f>
        <v>begin_checkout</v>
      </c>
      <c r="C5" t="str" cm="1">
        <f t="array" ref="C5">_xlfn.SWITCH(B5,"sessions","All sessions","view_item","Viewed a product","add_to_cart","Added to cart","begin_checkout","Began checkout","add_shipping_info","Added shipping info","add_payment_info","Added payment info","purchase","Purchased")</f>
        <v>Began checkout</v>
      </c>
      <c r="D5" s="4" cm="1">
        <f t="array" ref="D5">_xlfn.XLOOKUP(1,(tFunnel[[segment_type]:[segment_type]]="overall")*(tFunnel[[step_sort]:[step_sort]]=$A5),INDEX(tFunnel[],0,MATCH(D$1,tFunnel[#Headers],0)))</f>
        <v>11063</v>
      </c>
      <c r="E5" s="3" cm="1">
        <f t="array" ref="E5">_xlfn.XLOOKUP(1,(tFunnel[[segment_type]:[segment_type]]="overall")*(tFunnel[[step_sort]:[step_sort]]=$A5),INDEX(tFunnel[],0,MATCH(E$1,tFunnel[#Headers],0)))</f>
        <v>3.1111498571396431E-2</v>
      </c>
      <c r="F5" s="3" cm="1">
        <f t="array" ref="F5">_xlfn.XLOOKUP(1,(tFunnel[[segment_type]:[segment_type]]="overall")*(tFunnel[[step_sort]:[step_sort]]=$A5),INDEX(tFunnel[],0,MATCH(F$1,tFunnel[#Headers],0)))</f>
        <v>3.0545894980984305E-2</v>
      </c>
      <c r="G5" s="3" cm="1">
        <f t="array" ref="G5">_xlfn.XLOOKUP(1,(tFunnel[[segment_type]:[segment_type]]="overall")*(tFunnel[[step_sort]:[step_sort]]=$A5),INDEX(tFunnel[],0,MATCH(G$1,tFunnel[#Headers],0)))</f>
        <v>3.1687232853386725E-2</v>
      </c>
      <c r="H5" s="3" cm="1">
        <f t="array" ref="H5">_xlfn.XLOOKUP(1,(tFunnel[[segment_type]:[segment_type]]="overall")*(tFunnel[[step_sort]:[step_sort]]=$A5),INDEX(tFunnel[],0,MATCH(H$1,tFunnel[#Headers],0)))</f>
        <v>0.39401562293128556</v>
      </c>
      <c r="I5" s="3" cm="1">
        <f t="array" ref="I5">_xlfn.XLOOKUP(1,(tFunnel[[segment_type]:[segment_type]]="overall")*(tFunnel[[step_sort]:[step_sort]]=$A5),INDEX(tFunnel[],0,MATCH(I$1,tFunnel[#Headers],0)))</f>
        <v>0.3862512993976131</v>
      </c>
      <c r="J5" s="3" cm="1">
        <f t="array" ref="J5">_xlfn.XLOOKUP(1,(tFunnel[[segment_type]:[segment_type]]="overall")*(tFunnel[[step_sort]:[step_sort]]=$A5),INDEX(tFunnel[],0,MATCH(J$1,tFunnel[#Headers],0)))</f>
        <v>0.40183383645813597</v>
      </c>
      <c r="K5" s="3" cm="1">
        <f t="array" ref="K5">_xlfn.XLOOKUP(1,(tFunnel[[segment_type]:[segment_type]]="overall")*(tFunnel[[step_sort]:[step_sort]]=$A5),INDEX(tFunnel[],0,MATCH(K$1,tFunnel[#Headers],0)))</f>
        <v>0.46199041851215766</v>
      </c>
      <c r="L5" s="3" cm="1">
        <f t="array" ref="L5">_xlfn.XLOOKUP(1,(tFunnel[[segment_type]:[segment_type]]="overall")*(tFunnel[[step_sort]:[step_sort]]=$A5),INDEX(tFunnel[],0,MATCH(L$1,tFunnel[#Headers],0)))</f>
        <v>7.764323533672457E-3</v>
      </c>
      <c r="M5" s="3" cm="1">
        <f t="array" ref="M5">_xlfn.XLOOKUP(1,(tFunnel[[segment_type]:[segment_type]]="overall")*(tFunnel[[step_sort]:[step_sort]]=$A5),INDEX(tFunnel[],0,MATCH(M$1,tFunnel[#Headers],0)))</f>
        <v>7.8182135268504149E-3</v>
      </c>
      <c r="N5" t="str">
        <f t="shared" si="0"/>
        <v>11,063   3.1%</v>
      </c>
      <c r="P5" t="s">
        <v>27</v>
      </c>
      <c r="R5" t="str">
        <v>continent</v>
      </c>
      <c r="S5" t="str">
        <v>americas</v>
      </c>
      <c r="T5" s="40">
        <v>196608</v>
      </c>
      <c r="U5" s="6">
        <v>1.38092041015625E-2</v>
      </c>
      <c r="V5" s="6">
        <v>1.3302784243916822E-2</v>
      </c>
      <c r="W5" s="6">
        <v>1.4334622631282556E-2</v>
      </c>
      <c r="X5" s="6">
        <v>4.2420938511304566E-4</v>
      </c>
      <c r="Y5" s="6">
        <v>-3.43320700646265E-4</v>
      </c>
      <c r="Z5" s="6">
        <v>1.1871865768029056E-3</v>
      </c>
      <c r="AA5">
        <v>0</v>
      </c>
      <c r="AB5">
        <v>7.6753008575931067E-4</v>
      </c>
      <c r="AC5">
        <v>7.6297719168985992E-4</v>
      </c>
      <c r="AD5" t="str" cm="1">
        <f t="array" ref="AD5">IF(R5=R4,"",_xlfn.SWITCH(R5,"device_category","Device","continent","Continent","channel","Channel"))</f>
        <v>Continent</v>
      </c>
      <c r="AE5" t="str">
        <f t="shared" si="1"/>
        <v>americas</v>
      </c>
      <c r="AF5" s="6" t="e">
        <f t="shared" si="2"/>
        <v>#N/A</v>
      </c>
      <c r="AG5" s="6">
        <f t="shared" si="3"/>
        <v>4.2420938511304566E-4</v>
      </c>
      <c r="AI5" t="str">
        <v>23 Nov</v>
      </c>
      <c r="AJ5">
        <v>27376</v>
      </c>
      <c r="AK5" s="6">
        <v>1.8775569842197547E-2</v>
      </c>
      <c r="AL5" s="6">
        <v>1.5416310420271126E-3</v>
      </c>
      <c r="AM5" s="6">
        <v>1.6766649766758908E-3</v>
      </c>
      <c r="AO5" t="str">
        <v>home/shop by brand/youtube/</v>
      </c>
      <c r="AP5">
        <v>18021</v>
      </c>
      <c r="AQ5">
        <v>1.3151323455968037E-2</v>
      </c>
      <c r="AR5">
        <v>0</v>
      </c>
      <c r="AS5">
        <v>1.5625914878056851E-3</v>
      </c>
      <c r="AT5">
        <v>0</v>
      </c>
      <c r="AU5" t="str">
        <f t="shared" si="4"/>
        <v>shop by brand/youtube</v>
      </c>
      <c r="AV5" t="e">
        <f t="shared" si="5"/>
        <v>#N/A</v>
      </c>
      <c r="AW5">
        <f t="shared" si="6"/>
        <v>1.3151323455968037E-2</v>
      </c>
    </row>
    <row r="6" spans="1:49" x14ac:dyDescent="0.3">
      <c r="A6">
        <v>5</v>
      </c>
      <c r="B6" t="str" cm="1">
        <f t="array" ref="B6">_xlfn.XLOOKUP(1,(tFunnel[segment_type]="overall")*(tFunnel[step_sort]=$A6),tFunnel[step])</f>
        <v>add_shipping_info</v>
      </c>
      <c r="C6" t="str" cm="1">
        <f t="array" ref="C6">_xlfn.SWITCH(B6,"sessions","All sessions","view_item","Viewed a product","add_to_cart","Added to cart","begin_checkout","Began checkout","add_shipping_info","Added shipping info","add_payment_info","Added payment info","purchase","Purchased")</f>
        <v>Added shipping info</v>
      </c>
      <c r="D6" s="4" cm="1">
        <f t="array" ref="D6">_xlfn.XLOOKUP(1,(tFunnel[[segment_type]:[segment_type]]="overall")*(tFunnel[[step_sort]:[step_sort]]=$A6),INDEX(tFunnel[],0,MATCH(D$1,tFunnel[#Headers],0)))</f>
        <v>11062</v>
      </c>
      <c r="E6" s="3" cm="1">
        <f t="array" ref="E6">_xlfn.XLOOKUP(1,(tFunnel[[segment_type]:[segment_type]]="overall")*(tFunnel[[step_sort]:[step_sort]]=$A6),INDEX(tFunnel[],0,MATCH(E$1,tFunnel[#Headers],0)))</f>
        <v>3.1108686359648138E-2</v>
      </c>
      <c r="F6" s="3" cm="1">
        <f t="array" ref="F6">_xlfn.XLOOKUP(1,(tFunnel[[segment_type]:[segment_type]]="overall")*(tFunnel[[step_sort]:[step_sort]]=$A6),INDEX(tFunnel[],0,MATCH(F$1,tFunnel[#Headers],0)))</f>
        <v>3.0543107761593798E-2</v>
      </c>
      <c r="G6" s="3" cm="1">
        <f t="array" ref="G6">_xlfn.XLOOKUP(1,(tFunnel[[segment_type]:[segment_type]]="overall")*(tFunnel[[step_sort]:[step_sort]]=$A6),INDEX(tFunnel[],0,MATCH(G$1,tFunnel[#Headers],0)))</f>
        <v>3.1684395710040614E-2</v>
      </c>
      <c r="H6" s="3" cm="1">
        <f t="array" ref="H6">_xlfn.XLOOKUP(1,(tFunnel[[segment_type]:[segment_type]]="overall")*(tFunnel[[step_sort]:[step_sort]]=$A6),INDEX(tFunnel[],0,MATCH(H$1,tFunnel[#Headers],0)))</f>
        <v>0.99981921721052158</v>
      </c>
      <c r="I6" s="3" cm="1">
        <f t="array" ref="I6">_xlfn.XLOOKUP(1,(tFunnel[[segment_type]:[segment_type]]="overall")*(tFunnel[[step_sort]:[step_sort]]=$A6),INDEX(tFunnel[],0,MATCH(I$1,tFunnel[#Headers],0)))</f>
        <v>0.99934102419081039</v>
      </c>
      <c r="J6" s="3" cm="1">
        <f t="array" ref="J6">_xlfn.XLOOKUP(1,(tFunnel[[segment_type]:[segment_type]]="overall")*(tFunnel[[step_sort]:[step_sort]]=$A6),INDEX(tFunnel[],0,MATCH(J$1,tFunnel[#Headers],0)))</f>
        <v>0.99995042143887258</v>
      </c>
      <c r="K6" s="3" cm="1">
        <f t="array" ref="K6">_xlfn.XLOOKUP(1,(tFunnel[[segment_type]:[segment_type]]="overall")*(tFunnel[[step_sort]:[step_sort]]=$A6),INDEX(tFunnel[],0,MATCH(K$1,tFunnel[#Headers],0)))</f>
        <v>9.0399566082082806E-5</v>
      </c>
      <c r="L6" s="3" cm="1">
        <f t="array" ref="L6">_xlfn.XLOOKUP(1,(tFunnel[[segment_type]:[segment_type]]="overall")*(tFunnel[[step_sort]:[step_sort]]=$A6),INDEX(tFunnel[],0,MATCH(L$1,tFunnel[#Headers],0)))</f>
        <v>4.7819301971119277E-4</v>
      </c>
      <c r="M6" s="3" cm="1">
        <f t="array" ref="M6">_xlfn.XLOOKUP(1,(tFunnel[[segment_type]:[segment_type]]="overall")*(tFunnel[[step_sort]:[step_sort]]=$A6),INDEX(tFunnel[],0,MATCH(M$1,tFunnel[#Headers],0)))</f>
        <v>1.3120422835100065E-4</v>
      </c>
      <c r="N6" t="str">
        <f t="shared" si="0"/>
        <v>11,062   3.1%</v>
      </c>
      <c r="P6" t="s">
        <v>28</v>
      </c>
      <c r="R6" t="str">
        <v>continent</v>
      </c>
      <c r="S6" t="str">
        <v>asia</v>
      </c>
      <c r="T6" s="40">
        <v>84481</v>
      </c>
      <c r="U6" s="6">
        <v>1.3316603733383838E-2</v>
      </c>
      <c r="V6" s="6">
        <v>1.256547868744308E-2</v>
      </c>
      <c r="W6" s="6">
        <v>1.4111986997075476E-2</v>
      </c>
      <c r="X6" s="6">
        <v>-3.9733631331290327E-4</v>
      </c>
      <c r="Y6" s="6">
        <v>-1.2702435153077733E-3</v>
      </c>
      <c r="Z6" s="6">
        <v>5.0728824744618361E-4</v>
      </c>
      <c r="AA6">
        <v>0</v>
      </c>
      <c r="AB6">
        <v>8.7290720199487007E-4</v>
      </c>
      <c r="AC6">
        <v>9.0462456075908687E-4</v>
      </c>
      <c r="AD6" t="str" cm="1">
        <f t="array" ref="AD6">IF(R6=R5,"",_xlfn.SWITCH(R6,"device_category","Device","continent","Continent","channel","Channel"))</f>
        <v/>
      </c>
      <c r="AE6" t="str">
        <f t="shared" si="1"/>
        <v>asia</v>
      </c>
      <c r="AF6" s="6" t="e">
        <f t="shared" si="2"/>
        <v>#N/A</v>
      </c>
      <c r="AG6" s="6">
        <f t="shared" si="3"/>
        <v>-3.9733631331290327E-4</v>
      </c>
      <c r="AI6" t="str">
        <v>30 Nov</v>
      </c>
      <c r="AJ6">
        <v>30633</v>
      </c>
      <c r="AK6" s="6">
        <v>1.9260274866973525E-2</v>
      </c>
      <c r="AL6" s="6">
        <v>1.4798859847076837E-3</v>
      </c>
      <c r="AM6" s="6">
        <v>1.6004429219613238E-3</v>
      </c>
      <c r="AO6" t="str">
        <v>home/new/</v>
      </c>
      <c r="AP6">
        <v>17171</v>
      </c>
      <c r="AQ6">
        <v>1.729660474055093E-2</v>
      </c>
      <c r="AR6">
        <v>0</v>
      </c>
      <c r="AS6">
        <v>1.8448365355488733E-3</v>
      </c>
      <c r="AT6">
        <v>0</v>
      </c>
      <c r="AU6" t="str">
        <f t="shared" si="4"/>
        <v>new</v>
      </c>
      <c r="AV6" t="e">
        <f t="shared" si="5"/>
        <v>#N/A</v>
      </c>
      <c r="AW6">
        <f t="shared" si="6"/>
        <v>1.729660474055093E-2</v>
      </c>
    </row>
    <row r="7" spans="1:49" x14ac:dyDescent="0.3">
      <c r="A7">
        <v>6</v>
      </c>
      <c r="B7" t="str" cm="1">
        <f t="array" ref="B7">_xlfn.XLOOKUP(1,(tFunnel[segment_type]="overall")*(tFunnel[step_sort]=$A7),tFunnel[step])</f>
        <v>add_payment_info</v>
      </c>
      <c r="C7" t="str" cm="1">
        <f t="array" ref="C7">_xlfn.SWITCH(B7,"sessions","All sessions","view_item","Viewed a product","add_to_cart","Added to cart","begin_checkout","Began checkout","add_shipping_info","Added shipping info","add_payment_info","Added payment info","purchase","Purchased")</f>
        <v>Added payment info</v>
      </c>
      <c r="D7" s="4" cm="1">
        <f t="array" ref="D7">_xlfn.XLOOKUP(1,(tFunnel[[segment_type]:[segment_type]]="overall")*(tFunnel[[step_sort]:[step_sort]]=$A7),INDEX(tFunnel[],0,MATCH(D$1,tFunnel[#Headers],0)))</f>
        <v>6786</v>
      </c>
      <c r="E7" s="3" cm="1">
        <f t="array" ref="E7">_xlfn.XLOOKUP(1,(tFunnel[[segment_type]:[segment_type]]="overall")*(tFunnel[[step_sort]:[step_sort]]=$A7),INDEX(tFunnel[],0,MATCH(E$1,tFunnel[#Headers],0)))</f>
        <v>1.9083668923935298E-2</v>
      </c>
      <c r="F7" s="3" cm="1">
        <f t="array" ref="F7">_xlfn.XLOOKUP(1,(tFunnel[[segment_type]:[segment_type]]="overall")*(tFunnel[[step_sort]:[step_sort]]=$A7),INDEX(tFunnel[],0,MATCH(F$1,tFunnel[#Headers],0)))</f>
        <v>1.8639140626340776E-2</v>
      </c>
      <c r="G7" s="3" cm="1">
        <f t="array" ref="G7">_xlfn.XLOOKUP(1,(tFunnel[[segment_type]:[segment_type]]="overall")*(tFunnel[[step_sort]:[step_sort]]=$A7),INDEX(tFunnel[],0,MATCH(G$1,tFunnel[#Headers],0)))</f>
        <v>1.9538587783486858E-2</v>
      </c>
      <c r="H7" s="3" cm="1">
        <f t="array" ref="H7">_xlfn.XLOOKUP(1,(tFunnel[[segment_type]:[segment_type]]="overall")*(tFunnel[[step_sort]:[step_sort]]=$A7),INDEX(tFunnel[],0,MATCH(H$1,tFunnel[#Headers],0)))</f>
        <v>0.61318025673476773</v>
      </c>
      <c r="I7" s="3" cm="1">
        <f t="array" ref="I7">_xlfn.XLOOKUP(1,(tFunnel[[segment_type]:[segment_type]]="overall")*(tFunnel[[step_sort]:[step_sort]]=$A7),INDEX(tFunnel[],0,MATCH(I$1,tFunnel[#Headers],0)))</f>
        <v>0.6040667668215437</v>
      </c>
      <c r="J7" s="3" cm="1">
        <f t="array" ref="J7">_xlfn.XLOOKUP(1,(tFunnel[[segment_type]:[segment_type]]="overall")*(tFunnel[[step_sort]:[step_sort]]=$A7),INDEX(tFunnel[],0,MATCH(J$1,tFunnel[#Headers],0)))</f>
        <v>0.62221516657723319</v>
      </c>
      <c r="K7" s="3" cm="1">
        <f t="array" ref="K7">_xlfn.XLOOKUP(1,(tFunnel[[segment_type]:[segment_type]]="overall")*(tFunnel[[step_sort]:[step_sort]]=$A7),INDEX(tFunnel[],0,MATCH(K$1,tFunnel[#Headers],0)))</f>
        <v>4.4208664898320068E-4</v>
      </c>
      <c r="L7" s="3" cm="1">
        <f t="array" ref="L7">_xlfn.XLOOKUP(1,(tFunnel[[segment_type]:[segment_type]]="overall")*(tFunnel[[step_sort]:[step_sort]]=$A7),INDEX(tFunnel[],0,MATCH(L$1,tFunnel[#Headers],0)))</f>
        <v>9.1134899132240266E-3</v>
      </c>
      <c r="M7" s="3" cm="1">
        <f t="array" ref="M7">_xlfn.XLOOKUP(1,(tFunnel[[segment_type]:[segment_type]]="overall")*(tFunnel[[step_sort]:[step_sort]]=$A7),INDEX(tFunnel[],0,MATCH(M$1,tFunnel[#Headers],0)))</f>
        <v>9.0349098424654661E-3</v>
      </c>
      <c r="N7" t="str">
        <f t="shared" si="0"/>
        <v>6,786   1.9%</v>
      </c>
      <c r="P7" t="s">
        <v>26</v>
      </c>
      <c r="R7" t="str">
        <v>continent</v>
      </c>
      <c r="S7" t="str">
        <v>europe</v>
      </c>
      <c r="T7" s="40">
        <v>66291</v>
      </c>
      <c r="U7" s="6">
        <v>1.3546333589778402E-2</v>
      </c>
      <c r="V7" s="6">
        <v>1.26941209205058E-2</v>
      </c>
      <c r="W7" s="6">
        <v>1.4454921437452466E-2</v>
      </c>
      <c r="X7" s="6">
        <v>-8.9982911028714876E-5</v>
      </c>
      <c r="Y7" s="6">
        <v>-1.0441349554824854E-3</v>
      </c>
      <c r="Z7" s="6">
        <v>9.0939359590286296E-4</v>
      </c>
      <c r="AA7">
        <v>0</v>
      </c>
      <c r="AB7">
        <v>9.5415204445377052E-4</v>
      </c>
      <c r="AC7">
        <v>9.9937650693157783E-4</v>
      </c>
      <c r="AD7" t="str" cm="1">
        <f t="array" ref="AD7">IF(R7=R6,"",_xlfn.SWITCH(R7,"device_category","Device","continent","Continent","channel","Channel"))</f>
        <v/>
      </c>
      <c r="AE7" t="str">
        <f t="shared" si="1"/>
        <v>europe</v>
      </c>
      <c r="AF7" s="6" t="e">
        <f t="shared" si="2"/>
        <v>#N/A</v>
      </c>
      <c r="AG7" s="6">
        <f t="shared" si="3"/>
        <v>-8.9982911028714876E-5</v>
      </c>
      <c r="AI7" t="str">
        <v>07 Dec</v>
      </c>
      <c r="AJ7">
        <v>38220</v>
      </c>
      <c r="AK7" s="6">
        <v>2.0146520146520148E-2</v>
      </c>
      <c r="AL7" s="6">
        <v>1.3611156527279233E-3</v>
      </c>
      <c r="AM7" s="6">
        <v>1.4575652685461966E-3</v>
      </c>
      <c r="AO7" t="str">
        <v>lifestyle/</v>
      </c>
      <c r="AP7">
        <v>12978</v>
      </c>
      <c r="AQ7">
        <v>6.0564031437817849E-2</v>
      </c>
      <c r="AR7">
        <v>0</v>
      </c>
      <c r="AS7">
        <v>3.9752097057826064E-3</v>
      </c>
      <c r="AT7">
        <v>0</v>
      </c>
      <c r="AU7" t="str">
        <f t="shared" si="4"/>
        <v>lifestyle</v>
      </c>
      <c r="AV7" t="e">
        <f t="shared" si="5"/>
        <v>#N/A</v>
      </c>
      <c r="AW7">
        <f t="shared" si="6"/>
        <v>6.0564031437817849E-2</v>
      </c>
    </row>
    <row r="8" spans="1:49" x14ac:dyDescent="0.3">
      <c r="A8">
        <v>7</v>
      </c>
      <c r="B8" t="str" cm="1">
        <f t="array" ref="B8">_xlfn.XLOOKUP(1,(tFunnel[segment_type]="overall")*(tFunnel[step_sort]=$A8),tFunnel[step])</f>
        <v>purchase</v>
      </c>
      <c r="C8" t="str" cm="1">
        <f t="array" ref="C8">_xlfn.SWITCH(B8,"sessions","All sessions","view_item","Viewed a product","add_to_cart","Added to cart","begin_checkout","Began checkout","add_shipping_info","Added shipping info","add_payment_info","Added payment info","purchase","Purchased")</f>
        <v>Purchased</v>
      </c>
      <c r="D8" s="4" cm="1">
        <f t="array" ref="D8">_xlfn.XLOOKUP(1,(tFunnel[[segment_type]:[segment_type]]="overall")*(tFunnel[[step_sort]:[step_sort]]=$A8),INDEX(tFunnel[],0,MATCH(D$1,tFunnel[#Headers],0)))</f>
        <v>4843</v>
      </c>
      <c r="E8" s="3" cm="1">
        <f t="array" ref="E8">_xlfn.XLOOKUP(1,(tFunnel[[segment_type]:[segment_type]]="overall")*(tFunnel[[step_sort]:[step_sort]]=$A8),INDEX(tFunnel[],0,MATCH(E$1,tFunnel[#Headers],0)))</f>
        <v>1.3619541496996557E-2</v>
      </c>
      <c r="F8" s="3" cm="1">
        <f t="array" ref="F8">_xlfn.XLOOKUP(1,(tFunnel[[segment_type]:[segment_type]]="overall")*(tFunnel[[step_sort]:[step_sort]]=$A8),INDEX(tFunnel[],0,MATCH(F$1,tFunnel[#Headers],0)))</f>
        <v>1.3243804964950839E-2</v>
      </c>
      <c r="G8" s="3" cm="1">
        <f t="array" ref="G8">_xlfn.XLOOKUP(1,(tFunnel[[segment_type]:[segment_type]]="overall")*(tFunnel[[step_sort]:[step_sort]]=$A8),INDEX(tFunnel[],0,MATCH(G$1,tFunnel[#Headers],0)))</f>
        <v>1.40057866476152E-2</v>
      </c>
      <c r="H8" s="3" cm="1">
        <f t="array" ref="H8">_xlfn.XLOOKUP(1,(tFunnel[[segment_type]:[segment_type]]="overall")*(tFunnel[[step_sort]:[step_sort]]=$A8),INDEX(tFunnel[],0,MATCH(H$1,tFunnel[#Headers],0)))</f>
        <v>0.71323312702623043</v>
      </c>
      <c r="I8" s="3" cm="1">
        <f t="array" ref="I8">_xlfn.XLOOKUP(1,(tFunnel[[segment_type]:[segment_type]]="overall")*(tFunnel[[step_sort]:[step_sort]]=$A8),INDEX(tFunnel[],0,MATCH(I$1,tFunnel[#Headers],0)))</f>
        <v>0.70235462848285868</v>
      </c>
      <c r="J8" s="3" cm="1">
        <f t="array" ref="J8">_xlfn.XLOOKUP(1,(tFunnel[[segment_type]:[segment_type]]="overall")*(tFunnel[[step_sort]:[step_sort]]=$A8),INDEX(tFunnel[],0,MATCH(J$1,tFunnel[#Headers],0)))</f>
        <v>0.72387034562380015</v>
      </c>
      <c r="K8" s="3" cm="1">
        <f t="array" ref="K8">_xlfn.XLOOKUP(1,(tFunnel[[segment_type]:[segment_type]]="overall")*(tFunnel[[step_sort]:[step_sort]]=$A8),INDEX(tFunnel[],0,MATCH(K$1,tFunnel[#Headers],0)))</f>
        <v>6.1945075366508359E-4</v>
      </c>
      <c r="L8" s="3" cm="1">
        <f t="array" ref="L8">_xlfn.XLOOKUP(1,(tFunnel[[segment_type]:[segment_type]]="overall")*(tFunnel[[step_sort]:[step_sort]]=$A8),INDEX(tFunnel[],0,MATCH(L$1,tFunnel[#Headers],0)))</f>
        <v>1.0878498543371751E-2</v>
      </c>
      <c r="M8" s="3" cm="1">
        <f t="array" ref="M8">_xlfn.XLOOKUP(1,(tFunnel[[segment_type]:[segment_type]]="overall")*(tFunnel[[step_sort]:[step_sort]]=$A8),INDEX(tFunnel[],0,MATCH(M$1,tFunnel[#Headers],0)))</f>
        <v>1.063721859756972E-2</v>
      </c>
      <c r="N8" t="str">
        <f t="shared" si="0"/>
        <v>4,843   1.4%</v>
      </c>
      <c r="P8" t="s">
        <v>24</v>
      </c>
      <c r="R8" t="str">
        <v>continent</v>
      </c>
      <c r="S8" t="str">
        <v>oceania</v>
      </c>
      <c r="T8" s="40">
        <v>3745</v>
      </c>
      <c r="U8" s="6">
        <v>1.3618157543391188E-2</v>
      </c>
      <c r="V8" s="6">
        <v>1.0373165939012786E-2</v>
      </c>
      <c r="W8" s="6">
        <v>1.7859945554819366E-2</v>
      </c>
      <c r="X8" s="6">
        <v>-1.3986841736340905E-6</v>
      </c>
      <c r="Y8" s="6">
        <v>-3.2695427979208503E-3</v>
      </c>
      <c r="Z8" s="6">
        <v>4.2571721324902818E-3</v>
      </c>
      <c r="AA8">
        <v>0</v>
      </c>
      <c r="AB8">
        <v>3.2681441137472162E-3</v>
      </c>
      <c r="AC8">
        <v>4.2585708166639159E-3</v>
      </c>
      <c r="AD8" t="str" cm="1">
        <f t="array" ref="AD8">IF(R8=R7,"",_xlfn.SWITCH(R8,"device_category","Device","continent","Continent","channel","Channel"))</f>
        <v/>
      </c>
      <c r="AE8" t="str">
        <f t="shared" si="1"/>
        <v>oceania</v>
      </c>
      <c r="AF8" s="6" t="e">
        <f t="shared" si="2"/>
        <v>#N/A</v>
      </c>
      <c r="AG8" s="6">
        <f t="shared" si="3"/>
        <v>-1.3986841736340905E-6</v>
      </c>
      <c r="AI8" t="str">
        <v>14 Dec</v>
      </c>
      <c r="AJ8">
        <v>32973</v>
      </c>
      <c r="AK8" s="6">
        <v>1.6589330664483062E-2</v>
      </c>
      <c r="AL8" s="6">
        <v>1.3233966609028664E-3</v>
      </c>
      <c r="AM8" s="6">
        <v>1.4360212863599592E-3</v>
      </c>
      <c r="AO8" t="str">
        <v>home/eco-friendly/</v>
      </c>
      <c r="AP8">
        <v>11826</v>
      </c>
      <c r="AQ8">
        <v>3.4500253678335868E-2</v>
      </c>
      <c r="AR8">
        <v>0</v>
      </c>
      <c r="AS8">
        <v>3.1411755403800076E-3</v>
      </c>
      <c r="AT8">
        <v>0</v>
      </c>
      <c r="AU8" t="str">
        <f t="shared" si="4"/>
        <v>eco-friendly</v>
      </c>
      <c r="AV8" t="e">
        <f t="shared" si="5"/>
        <v>#N/A</v>
      </c>
      <c r="AW8">
        <f t="shared" si="6"/>
        <v>3.4500253678335868E-2</v>
      </c>
    </row>
    <row r="9" spans="1:49" x14ac:dyDescent="0.3">
      <c r="R9" t="str">
        <v>continent</v>
      </c>
      <c r="S9" t="str">
        <v>africa</v>
      </c>
      <c r="T9" s="40">
        <v>3664</v>
      </c>
      <c r="U9" s="6">
        <v>1.1735807860262008E-2</v>
      </c>
      <c r="V9" s="6">
        <v>8.7246026449604719E-3</v>
      </c>
      <c r="W9" s="6">
        <v>1.5769765470039221E-2</v>
      </c>
      <c r="X9" s="6">
        <v>-1.9033456029463759E-3</v>
      </c>
      <c r="Y9" s="6">
        <v>-4.9395155407503527E-3</v>
      </c>
      <c r="Z9" s="6">
        <v>2.1482771386950317E-3</v>
      </c>
      <c r="AA9">
        <v>0</v>
      </c>
      <c r="AB9">
        <v>3.0361699378039769E-3</v>
      </c>
      <c r="AC9">
        <v>4.0516227416414075E-3</v>
      </c>
      <c r="AD9" t="str" cm="1">
        <f t="array" ref="AD9">IF(R9=R8,"",_xlfn.SWITCH(R9,"device_category","Device","continent","Continent","channel","Channel"))</f>
        <v/>
      </c>
      <c r="AE9" t="str">
        <f t="shared" si="1"/>
        <v>africa</v>
      </c>
      <c r="AF9" s="6" t="e">
        <f t="shared" si="2"/>
        <v>#N/A</v>
      </c>
      <c r="AG9" s="6">
        <f t="shared" si="3"/>
        <v>-1.9033456029463759E-3</v>
      </c>
      <c r="AI9" t="str">
        <v>21 Dec</v>
      </c>
      <c r="AJ9">
        <v>21888</v>
      </c>
      <c r="AK9" s="6">
        <v>1.0645102339181287E-2</v>
      </c>
      <c r="AL9" s="6">
        <v>1.2762733614898793E-3</v>
      </c>
      <c r="AM9" s="6">
        <v>1.4480119264028112E-3</v>
      </c>
      <c r="AO9" t="str">
        <v>lifestyle/bags/</v>
      </c>
      <c r="AP9">
        <v>11431</v>
      </c>
      <c r="AQ9">
        <v>3.0880937800717347E-2</v>
      </c>
      <c r="AR9">
        <v>0</v>
      </c>
      <c r="AS9">
        <v>3.0171019352441229E-3</v>
      </c>
      <c r="AT9">
        <v>0</v>
      </c>
      <c r="AU9" t="str">
        <f t="shared" si="4"/>
        <v>lifestyle/bags</v>
      </c>
      <c r="AV9" t="e">
        <f t="shared" si="5"/>
        <v>#N/A</v>
      </c>
      <c r="AW9">
        <f t="shared" si="6"/>
        <v>3.0880937800717347E-2</v>
      </c>
    </row>
    <row r="10" spans="1:49" x14ac:dyDescent="0.3">
      <c r="R10" t="str">
        <v>continent</v>
      </c>
      <c r="S10" t="str">
        <v>unknown</v>
      </c>
      <c r="T10" s="40">
        <v>803</v>
      </c>
      <c r="U10" s="6">
        <v>1.3698630136986301E-2</v>
      </c>
      <c r="V10" s="6">
        <v>7.6660303127121616E-3</v>
      </c>
      <c r="W10" s="6">
        <v>2.4361896111799747E-2</v>
      </c>
      <c r="X10" s="6">
        <v>7.9267642658685869E-5</v>
      </c>
      <c r="Y10" s="6">
        <v>-5.965712618760625E-3</v>
      </c>
      <c r="Z10" s="6">
        <v>1.0749166069697169E-2</v>
      </c>
      <c r="AA10">
        <v>0</v>
      </c>
      <c r="AB10">
        <v>6.0449802614193108E-3</v>
      </c>
      <c r="AC10">
        <v>1.0669898427038483E-2</v>
      </c>
      <c r="AD10" t="str" cm="1">
        <f t="array" ref="AD10">IF(R10=R9,"",_xlfn.SWITCH(R10,"device_category","Device","continent","Continent","channel","Channel"))</f>
        <v/>
      </c>
      <c r="AE10" t="str">
        <f t="shared" si="1"/>
        <v>unknown</v>
      </c>
      <c r="AF10" s="6" t="e">
        <f t="shared" si="2"/>
        <v>#N/A</v>
      </c>
      <c r="AG10" s="6">
        <f t="shared" si="3"/>
        <v>7.9267642658685869E-5</v>
      </c>
      <c r="AI10" t="str">
        <v>28 Dec</v>
      </c>
      <c r="AJ10">
        <v>20268</v>
      </c>
      <c r="AK10" s="6">
        <v>6.8087625814091182E-3</v>
      </c>
      <c r="AL10" s="6">
        <v>1.0424075836512085E-3</v>
      </c>
      <c r="AM10" s="6">
        <v>1.2293243827986248E-3</v>
      </c>
      <c r="AO10" t="str">
        <v>home/apparel/</v>
      </c>
      <c r="AP10">
        <v>10314</v>
      </c>
      <c r="AQ10">
        <v>2.9280589490013574E-2</v>
      </c>
      <c r="AR10">
        <v>0</v>
      </c>
      <c r="AS10">
        <v>3.0825105227676765E-3</v>
      </c>
      <c r="AT10">
        <v>0</v>
      </c>
      <c r="AU10" t="str">
        <f t="shared" si="4"/>
        <v>apparel</v>
      </c>
      <c r="AV10" t="e">
        <f t="shared" si="5"/>
        <v>#N/A</v>
      </c>
      <c r="AW10">
        <f t="shared" si="6"/>
        <v>2.9280589490013574E-2</v>
      </c>
    </row>
    <row r="11" spans="1:49" x14ac:dyDescent="0.3">
      <c r="A11" t="s">
        <v>134</v>
      </c>
      <c r="B11" s="5">
        <f>D2</f>
        <v>355592</v>
      </c>
      <c r="R11" t="str">
        <v>channel</v>
      </c>
      <c r="S11" t="str">
        <v>organic</v>
      </c>
      <c r="T11" s="40">
        <v>121780</v>
      </c>
      <c r="U11" s="6">
        <v>1.1151256363934966E-2</v>
      </c>
      <c r="V11" s="6">
        <v>1.0576708206761621E-2</v>
      </c>
      <c r="W11" s="6">
        <v>1.1756644283187671E-2</v>
      </c>
      <c r="X11" s="6">
        <v>-3.7538810969310298E-3</v>
      </c>
      <c r="Y11" s="6">
        <v>-4.5149955769601853E-3</v>
      </c>
      <c r="Z11" s="6">
        <v>-2.9792686321218403E-3</v>
      </c>
      <c r="AA11">
        <v>0</v>
      </c>
      <c r="AB11">
        <v>7.6111448002915555E-4</v>
      </c>
      <c r="AC11">
        <v>7.7461246480918945E-4</v>
      </c>
      <c r="AD11" t="str" cm="1">
        <f t="array" ref="AD11">IF(R11=R10,"",_xlfn.SWITCH(R11,"device_category","Device","continent","Continent","channel","Channel"))</f>
        <v>Channel</v>
      </c>
      <c r="AE11" t="str">
        <f t="shared" si="1"/>
        <v>organic</v>
      </c>
      <c r="AF11" s="6">
        <f t="shared" si="2"/>
        <v>-3.7538810969310298E-3</v>
      </c>
      <c r="AG11" s="6" t="e">
        <f t="shared" si="3"/>
        <v>#N/A</v>
      </c>
      <c r="AI11" t="str">
        <v>04 Jan</v>
      </c>
      <c r="AJ11">
        <v>28756</v>
      </c>
      <c r="AK11" s="6">
        <v>5.6336068994296846E-3</v>
      </c>
      <c r="AL11" s="6">
        <v>8.0149450205245932E-4</v>
      </c>
      <c r="AM11" s="6">
        <v>9.3355977606348652E-4</v>
      </c>
      <c r="AO11" t="str">
        <v>home/apparel/women's/</v>
      </c>
      <c r="AP11">
        <v>10290</v>
      </c>
      <c r="AQ11">
        <v>3.0029154518950437E-2</v>
      </c>
      <c r="AR11">
        <v>0</v>
      </c>
      <c r="AS11">
        <v>3.1262116782626373E-3</v>
      </c>
      <c r="AT11">
        <v>0</v>
      </c>
      <c r="AU11" t="str">
        <f t="shared" si="4"/>
        <v>apparel/women's</v>
      </c>
      <c r="AV11" t="e">
        <f t="shared" si="5"/>
        <v>#N/A</v>
      </c>
      <c r="AW11">
        <f t="shared" si="6"/>
        <v>3.0029154518950437E-2</v>
      </c>
    </row>
    <row r="12" spans="1:49" x14ac:dyDescent="0.3">
      <c r="A12" t="s">
        <v>135</v>
      </c>
      <c r="B12" s="5">
        <f>D8</f>
        <v>4843</v>
      </c>
      <c r="R12" t="str">
        <v>channel</v>
      </c>
      <c r="S12" t="str">
        <v>direct</v>
      </c>
      <c r="T12" s="40">
        <v>82493</v>
      </c>
      <c r="U12" s="6">
        <v>1.305565320693877E-2</v>
      </c>
      <c r="V12" s="6">
        <v>1.2303400253954679E-2</v>
      </c>
      <c r="W12" s="6">
        <v>1.3853255209719327E-2</v>
      </c>
      <c r="X12" s="6">
        <v>-7.3421786545622113E-4</v>
      </c>
      <c r="Y12" s="6">
        <v>-1.6078621885243743E-3</v>
      </c>
      <c r="Z12" s="6">
        <v>1.7218857536819719E-4</v>
      </c>
      <c r="AA12">
        <v>0</v>
      </c>
      <c r="AB12">
        <v>8.736443230681532E-4</v>
      </c>
      <c r="AC12">
        <v>9.0640644082441832E-4</v>
      </c>
      <c r="AD12" t="str" cm="1">
        <f t="array" ref="AD12">IF(R12=R11,"",_xlfn.SWITCH(R12,"device_category","Device","continent","Continent","channel","Channel"))</f>
        <v/>
      </c>
      <c r="AE12" t="str">
        <f t="shared" si="1"/>
        <v>direct</v>
      </c>
      <c r="AF12" s="6" t="e">
        <f t="shared" si="2"/>
        <v>#N/A</v>
      </c>
      <c r="AG12" s="6">
        <f t="shared" si="3"/>
        <v>-7.3421786545622113E-4</v>
      </c>
      <c r="AI12" t="str">
        <v>11 Jan</v>
      </c>
      <c r="AJ12">
        <v>27384</v>
      </c>
      <c r="AK12" s="6">
        <v>8.2895121238679512E-3</v>
      </c>
      <c r="AL12" s="6">
        <v>1.0070512630186018E-3</v>
      </c>
      <c r="AM12" s="6">
        <v>1.1449873339217462E-3</v>
      </c>
      <c r="AO12" t="str">
        <v>lifestyle/small goods/</v>
      </c>
      <c r="AP12">
        <v>9646</v>
      </c>
      <c r="AQ12">
        <v>3.1619324072154259E-2</v>
      </c>
      <c r="AR12">
        <v>0</v>
      </c>
      <c r="AS12">
        <v>3.3098214273876714E-3</v>
      </c>
      <c r="AT12">
        <v>0</v>
      </c>
      <c r="AU12" t="str">
        <f t="shared" si="4"/>
        <v>lifestyle/small goods</v>
      </c>
      <c r="AV12" t="e">
        <f t="shared" si="5"/>
        <v>#N/A</v>
      </c>
      <c r="AW12">
        <f t="shared" si="6"/>
        <v>3.1619324072154259E-2</v>
      </c>
    </row>
    <row r="13" spans="1:49" x14ac:dyDescent="0.3">
      <c r="A13" t="s">
        <v>136</v>
      </c>
      <c r="B13" s="6">
        <f>E8</f>
        <v>1.3619541496996557E-2</v>
      </c>
      <c r="R13" t="str">
        <v>channel</v>
      </c>
      <c r="S13" t="str">
        <v>referral</v>
      </c>
      <c r="T13" s="40">
        <v>62331</v>
      </c>
      <c r="U13" s="6">
        <v>1.68455503681956E-2</v>
      </c>
      <c r="V13" s="6">
        <v>1.5864619721823629E-2</v>
      </c>
      <c r="W13" s="6">
        <v>1.7886030951910402E-2</v>
      </c>
      <c r="X13" s="6">
        <v>3.9116791749581759E-3</v>
      </c>
      <c r="Y13" s="6">
        <v>2.8464309388207478E-3</v>
      </c>
      <c r="Z13" s="6">
        <v>5.0273365210555289E-3</v>
      </c>
      <c r="AA13">
        <v>0</v>
      </c>
      <c r="AB13">
        <v>1.0652482361374282E-3</v>
      </c>
      <c r="AC13">
        <v>1.115657346097353E-3</v>
      </c>
      <c r="AD13" t="str" cm="1">
        <f t="array" ref="AD13">IF(R13=R12,"",_xlfn.SWITCH(R13,"device_category","Device","continent","Continent","channel","Channel"))</f>
        <v/>
      </c>
      <c r="AE13" t="str">
        <f t="shared" si="1"/>
        <v>referral</v>
      </c>
      <c r="AF13" s="6">
        <f t="shared" si="2"/>
        <v>3.9116791749581759E-3</v>
      </c>
      <c r="AG13" s="6" t="e">
        <f t="shared" si="3"/>
        <v>#N/A</v>
      </c>
      <c r="AI13" t="str">
        <v>18 Jan</v>
      </c>
      <c r="AJ13">
        <v>27142</v>
      </c>
      <c r="AK13" s="6">
        <v>1.3816225775550807E-2</v>
      </c>
      <c r="AL13" s="6">
        <v>1.3214799893444904E-3</v>
      </c>
      <c r="AM13" s="6">
        <v>1.4590815428100912E-3</v>
      </c>
      <c r="AO13" t="str">
        <v>lifestyle/drinkware/</v>
      </c>
      <c r="AP13">
        <v>8416</v>
      </c>
      <c r="AQ13">
        <v>4.8716730038022814E-2</v>
      </c>
      <c r="AR13">
        <v>0</v>
      </c>
      <c r="AS13">
        <v>4.3969384073630838E-3</v>
      </c>
      <c r="AT13">
        <v>0</v>
      </c>
      <c r="AU13" t="str">
        <f t="shared" si="4"/>
        <v>lifestyle/drinkware</v>
      </c>
      <c r="AV13" t="e">
        <f t="shared" si="5"/>
        <v>#N/A</v>
      </c>
      <c r="AW13">
        <f t="shared" si="6"/>
        <v>4.8716730038022814E-2</v>
      </c>
    </row>
    <row r="14" spans="1:49" x14ac:dyDescent="0.3">
      <c r="A14" t="s">
        <v>137</v>
      </c>
      <c r="B14" t="str">
        <f>"95% CI "&amp;TEXT(F8,"0.00%")&amp;" – "&amp;TEXT(G8,"0.00%")</f>
        <v>95% CI 1.32% – 1.40%</v>
      </c>
      <c r="R14" t="str">
        <v>channel</v>
      </c>
      <c r="S14" t="str">
        <v>other</v>
      </c>
      <c r="T14" s="40">
        <v>51789</v>
      </c>
      <c r="U14" s="6">
        <v>9.9248875243777637E-3</v>
      </c>
      <c r="V14" s="6">
        <v>9.1067533154400148E-3</v>
      </c>
      <c r="W14" s="6">
        <v>1.0815719169497548E-2</v>
      </c>
      <c r="X14" s="6">
        <v>-4.3244780184246451E-3</v>
      </c>
      <c r="Y14" s="6">
        <v>-5.247626970930102E-3</v>
      </c>
      <c r="Z14" s="6">
        <v>-3.3415810466643904E-3</v>
      </c>
      <c r="AA14">
        <v>0</v>
      </c>
      <c r="AB14">
        <v>9.2314895250545682E-4</v>
      </c>
      <c r="AC14">
        <v>9.8289697176025476E-4</v>
      </c>
      <c r="AD14" t="str" cm="1">
        <f t="array" ref="AD14">IF(R14=R13,"",_xlfn.SWITCH(R14,"device_category","Device","continent","Continent","channel","Channel"))</f>
        <v/>
      </c>
      <c r="AE14" t="str">
        <f t="shared" si="1"/>
        <v>other</v>
      </c>
      <c r="AF14" s="6">
        <f t="shared" si="2"/>
        <v>-4.3244780184246451E-3</v>
      </c>
      <c r="AG14" s="6" t="e">
        <f t="shared" si="3"/>
        <v>#N/A</v>
      </c>
      <c r="AI14" t="str">
        <v>25 Jan</v>
      </c>
      <c r="AJ14">
        <v>26065</v>
      </c>
      <c r="AK14" s="6">
        <v>1.1931709188567044E-2</v>
      </c>
      <c r="AL14" s="6">
        <v>1.2480903424244866E-3</v>
      </c>
      <c r="AM14" s="6">
        <v>1.3919321217666057E-3</v>
      </c>
    </row>
    <row r="15" spans="1:49" x14ac:dyDescent="0.3">
      <c r="R15" t="str">
        <v>channel</v>
      </c>
      <c r="S15" t="str">
        <v>cpc</v>
      </c>
      <c r="T15" s="40">
        <v>15548</v>
      </c>
      <c r="U15" s="6">
        <v>9.7761770002572686E-3</v>
      </c>
      <c r="V15" s="6">
        <v>8.3461811531826205E-3</v>
      </c>
      <c r="W15" s="6">
        <v>1.1448353127225371E-2</v>
      </c>
      <c r="X15" s="6">
        <v>-4.0190965525770707E-3</v>
      </c>
      <c r="Y15" s="6">
        <v>-5.5033297795685204E-3</v>
      </c>
      <c r="Z15" s="6">
        <v>-2.3028159369197949E-3</v>
      </c>
      <c r="AA15">
        <v>0</v>
      </c>
      <c r="AB15">
        <v>1.4842332269914497E-3</v>
      </c>
      <c r="AC15">
        <v>1.7162806156572757E-3</v>
      </c>
      <c r="AD15" t="str" cm="1">
        <f t="array" ref="AD15">IF(R15=R14,"",_xlfn.SWITCH(R15,"device_category","Device","continent","Continent","channel","Channel"))</f>
        <v/>
      </c>
      <c r="AE15" t="str">
        <f t="shared" si="1"/>
        <v>cpc</v>
      </c>
      <c r="AF15" s="6">
        <f t="shared" si="2"/>
        <v>-4.0190965525770707E-3</v>
      </c>
      <c r="AG15" s="6" t="e">
        <f t="shared" si="3"/>
        <v>#N/A</v>
      </c>
    </row>
    <row r="16" spans="1:49" x14ac:dyDescent="0.3">
      <c r="R16" t="str">
        <v>channel</v>
      </c>
      <c r="S16" t="str">
        <v>unknown</v>
      </c>
      <c r="T16" s="40">
        <v>21651</v>
      </c>
      <c r="U16" s="6">
        <v>3.1961572213754563E-2</v>
      </c>
      <c r="V16" s="6">
        <v>2.9700352047739818E-2</v>
      </c>
      <c r="W16" s="6">
        <v>3.438884765924307E-2</v>
      </c>
      <c r="X16" s="6">
        <v>1.9531232722646855E-2</v>
      </c>
      <c r="Y16" s="6">
        <v>1.723806734091915E-2</v>
      </c>
      <c r="Z16" s="6">
        <v>2.1986579024325676E-2</v>
      </c>
      <c r="AA16">
        <v>0</v>
      </c>
      <c r="AB16">
        <v>2.2931653817277048E-3</v>
      </c>
      <c r="AC16">
        <v>2.4553463016788214E-3</v>
      </c>
      <c r="AD16" t="str" cm="1">
        <f t="array" ref="AD16">IF(R16=R15,"",_xlfn.SWITCH(R16,"device_category","Device","continent","Continent","channel","Channel"))</f>
        <v/>
      </c>
      <c r="AE16" t="str">
        <f t="shared" si="1"/>
        <v>unknown</v>
      </c>
      <c r="AF16" s="6">
        <f t="shared" si="2"/>
        <v>1.9531232722646855E-2</v>
      </c>
      <c r="AG16" s="6" t="e">
        <f t="shared" si="3"/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6EC0AB-1093-48FB-96D2-A654DB5B4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1 Funnel</vt:lpstr>
      <vt:lpstr>2 Leaks</vt:lpstr>
      <vt:lpstr>3 Time &amp; Products</vt:lpstr>
      <vt:lpstr>d_product</vt:lpstr>
      <vt:lpstr>d_weekly</vt:lpstr>
      <vt:lpstr>d_funnel</vt:lpstr>
      <vt:lpstr>calc</vt:lpstr>
      <vt:lpstr>'1 Funnel'!Print_Area</vt:lpstr>
      <vt:lpstr>'2 Leaks'!Print_Area</vt:lpstr>
      <vt:lpstr>'3 Time &amp; Products'!Print_Area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 ADEJORI</dc:creator>
  <cp:lastModifiedBy>ENIOLA ADEJORI</cp:lastModifiedBy>
  <cp:lastPrinted>2026-10-05T11:16:10Z</cp:lastPrinted>
  <dcterms:created xsi:type="dcterms:W3CDTF">2026-10-02T09:17:36Z</dcterms:created>
  <dcterms:modified xsi:type="dcterms:W3CDTF">2026-10-05T12:24:58Z</dcterms:modified>
</cp:coreProperties>
</file>